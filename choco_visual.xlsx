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8556"/>
  </bookViews>
  <sheets>
    <sheet name="Лист2" sheetId="2" r:id="rId1"/>
    <sheet name="Лист3" sheetId="3" r:id="rId2"/>
    <sheet name="Лист4" sheetId="4" r:id="rId3"/>
  </sheets>
  <definedNames>
    <definedName name="Външни_данни_1" localSheetId="0" hidden="1">Лист2!$A$1:$G$23</definedName>
    <definedName name="Външни_данни_1" localSheetId="1" hidden="1">Лист3!$A$1:$B$9</definedName>
    <definedName name="Външни_данни_2" localSheetId="0" hidden="1">Лист2!$L$2:$M$24</definedName>
    <definedName name="Външни_данни_2" localSheetId="1" hidden="1">Лист3!$D$1:$E$9</definedName>
    <definedName name="Външни_данни_3" localSheetId="0" hidden="1">Лист2!$A$29:$B$51</definedName>
    <definedName name="Външни_данни_4" localSheetId="0" hidden="1">Лист2!$D$29:$E$51</definedName>
    <definedName name="_xlnm.Print_Area" localSheetId="2">Лист4!$A$1:$BL$94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Заявка – month_c" description="Връзка към заявката &quot;month_c&quot; в работната книга." type="5" refreshedVersion="6" background="1" saveData="1">
    <dbPr connection="Provider=Microsoft.Mashup.OleDb.1;Data Source=$Workbook$;Location=month_c;Extended Properties=&quot;&quot;" command="SELECT * FROM [month_c]"/>
  </connection>
  <connection id="2" keepAlive="1" name="Заявка – month_c (2)" description="Връзка към заявката &quot;month_c (2)&quot; в работната книга." type="5" refreshedVersion="6" background="1" saveData="1">
    <dbPr connection="Provider=Microsoft.Mashup.OleDb.1;Data Source=$Workbook$;Location=&quot;month_c (2)&quot;" command="SELECT * FROM [month_c (2)]"/>
  </connection>
  <connection id="3" keepAlive="1" name="Заявка – Product_c" description="Връзка към заявката &quot;Product_c&quot; в работната книга." type="5" refreshedVersion="6" background="1" saveData="1">
    <dbPr connection="Provider=Microsoft.Mashup.OleDb.1;Data Source=$Workbook$;Location=Product_c;Extended Properties=&quot;&quot;" command="SELECT * FROM [Product_c]"/>
  </connection>
  <connection id="4" keepAlive="1" name="Заявка – Product_c (2)" description="Връзка към заявката &quot;Product_c (2)&quot; в работната книга." type="5" refreshedVersion="6" background="1" saveData="1">
    <dbPr connection="Provider=Microsoft.Mashup.OleDb.1;Data Source=$Workbook$;Location=&quot;Product_c (2)&quot;" command="SELECT * FROM [Product_c (2)]"/>
  </connection>
  <connection id="5" keepAlive="1" name="Заявка – Product_c (3)" description="Връзка към заявката &quot;Product_c (3)&quot; в работната книга." type="5" refreshedVersion="6" background="1" saveData="1">
    <dbPr connection="Provider=Microsoft.Mashup.OleDb.1;Data Source=$Workbook$;Location=&quot;Product_c (3)&quot;" command="SELECT * FROM [Product_c (3)]"/>
  </connection>
  <connection id="6" keepAlive="1" name="Заявка – Product_c (4)" description="Връзка към заявката &quot;Product_c (4)&quot; в работната книга." type="5" refreshedVersion="6" background="1" saveData="1">
    <dbPr connection="Provider=Microsoft.Mashup.OleDb.1;Data Source=$Workbook$;Location=&quot;Product_c (4)&quot;" command="SELECT * FROM [Product_c (4)]"/>
  </connection>
</connections>
</file>

<file path=xl/sharedStrings.xml><?xml version="1.0" encoding="utf-8"?>
<sst xmlns="http://schemas.openxmlformats.org/spreadsheetml/2006/main" count="129" uniqueCount="40">
  <si>
    <t>product</t>
  </si>
  <si>
    <t>revenue</t>
  </si>
  <si>
    <t>boxes</t>
  </si>
  <si>
    <t>price_avg</t>
  </si>
  <si>
    <t>total_revenue</t>
  </si>
  <si>
    <t>total_boxes</t>
  </si>
  <si>
    <t>total_avg_price</t>
  </si>
  <si>
    <t>Smooth Sliky Salty</t>
  </si>
  <si>
    <t>50% Dark Bites</t>
  </si>
  <si>
    <t>White Choc</t>
  </si>
  <si>
    <t>Peanut Butter Cubes</t>
  </si>
  <si>
    <t>Eclairs</t>
  </si>
  <si>
    <t>99% Dark &amp; Pure</t>
  </si>
  <si>
    <t>85% Dark Bars</t>
  </si>
  <si>
    <t>Organic Choco Syrup</t>
  </si>
  <si>
    <t>Spicy Special Slims</t>
  </si>
  <si>
    <t>Mint Chip Choco</t>
  </si>
  <si>
    <t>Almond Choco</t>
  </si>
  <si>
    <t>Manuka Honey Choco</t>
  </si>
  <si>
    <t>Milk Bars</t>
  </si>
  <si>
    <t>Raspberry Choco</t>
  </si>
  <si>
    <t>After Nines</t>
  </si>
  <si>
    <t>Fruit &amp; Nut Bars</t>
  </si>
  <si>
    <t>Orange Choco</t>
  </si>
  <si>
    <t>Drinking Coco</t>
  </si>
  <si>
    <t>Baker's Choco Chips</t>
  </si>
  <si>
    <t>Choco Coated Almonds</t>
  </si>
  <si>
    <t>Caramel Stuffed Bars</t>
  </si>
  <si>
    <t>70% Dark Bites</t>
  </si>
  <si>
    <t>month</t>
  </si>
  <si>
    <t>Australia</t>
  </si>
  <si>
    <t>UK</t>
  </si>
  <si>
    <t>India</t>
  </si>
  <si>
    <t>USA</t>
  </si>
  <si>
    <t>Canada</t>
  </si>
  <si>
    <t>New Zealand</t>
  </si>
  <si>
    <t>Country</t>
  </si>
  <si>
    <t>Revenue</t>
  </si>
  <si>
    <t>Boxes</t>
  </si>
  <si>
    <t>AVG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</si>
</sst>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71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NumberFormat="1"/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 wrapText="1"/>
    </xf>
    <xf numFmtId="171" fontId="0" fillId="0" borderId="0" xfId="1" applyNumberFormat="1" applyFont="1" applyAlignment="1">
      <alignment vertical="center" wrapText="1"/>
    </xf>
    <xf numFmtId="44" fontId="0" fillId="0" borderId="0" xfId="1" applyFont="1"/>
    <xf numFmtId="171" fontId="0" fillId="0" borderId="0" xfId="1" applyNumberFormat="1" applyFont="1"/>
    <xf numFmtId="0" fontId="2" fillId="2" borderId="0" xfId="0" applyFont="1" applyFill="1"/>
  </cellXfs>
  <cellStyles count="2">
    <cellStyle name="Валута" xfId="1" builtinId="4"/>
    <cellStyle name="Нормален" xfId="0" builtinId="0"/>
  </cellStyles>
  <dxfs count="23">
    <dxf>
      <numFmt numFmtId="171" formatCode="_(&quot;$&quot;* #,##0_);_(&quot;$&quot;* \(#,##0\);_(&quot;$&quot;* &quot;-&quot;??_);_(@_)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71" formatCode="_(&quot;$&quot;* #,##0_);_(&quot;$&quot;* \(#,##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71" formatCode="_(&quot;$&quot;* #,##0_);_(&quot;$&quot;* \(#,##0\);_(&quot;$&quot;* &quot;-&quot;??_);_(@_)"/>
    </dxf>
    <dxf>
      <numFmt numFmtId="0" formatCode="General"/>
    </dxf>
    <dxf>
      <numFmt numFmtId="171" formatCode="_(&quot;$&quot;* #,##0_);_(&quot;$&quot;* \(#,##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1" formatCode="_(&quot;$&quot;* #,##0_);_(&quot;$&quot;* \(#,##0\);_(&quot;$&quot;* &quot;-&quot;??_);_(@_)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bg-BG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Лист2!$B$29</c:f>
              <c:strCache>
                <c:ptCount val="1"/>
                <c:pt idx="0">
                  <c:v>boxes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Лист2!$A$30:$A$51</c:f>
              <c:strCache>
                <c:ptCount val="22"/>
                <c:pt idx="0">
                  <c:v>50% Dark Bites</c:v>
                </c:pt>
                <c:pt idx="1">
                  <c:v>Smooth Sliky Salty</c:v>
                </c:pt>
                <c:pt idx="2">
                  <c:v>Eclairs</c:v>
                </c:pt>
                <c:pt idx="3">
                  <c:v>Spicy Special Slims</c:v>
                </c:pt>
                <c:pt idx="4">
                  <c:v>Caramel Stuffed Bars</c:v>
                </c:pt>
                <c:pt idx="5">
                  <c:v>Drinking Coco</c:v>
                </c:pt>
                <c:pt idx="6">
                  <c:v>Milk Bars</c:v>
                </c:pt>
                <c:pt idx="7">
                  <c:v>Peanut Butter Cubes</c:v>
                </c:pt>
                <c:pt idx="8">
                  <c:v>White Choc</c:v>
                </c:pt>
                <c:pt idx="9">
                  <c:v>After Nines</c:v>
                </c:pt>
                <c:pt idx="10">
                  <c:v>Mint Chip Choco</c:v>
                </c:pt>
                <c:pt idx="11">
                  <c:v>99% Dark &amp; Pure</c:v>
                </c:pt>
                <c:pt idx="12">
                  <c:v>70% Dark Bites</c:v>
                </c:pt>
                <c:pt idx="13">
                  <c:v>85% Dark Bars</c:v>
                </c:pt>
                <c:pt idx="14">
                  <c:v>Manuka Honey Choco</c:v>
                </c:pt>
                <c:pt idx="15">
                  <c:v>Fruit &amp; Nut Bars</c:v>
                </c:pt>
                <c:pt idx="16">
                  <c:v>Orange Choco</c:v>
                </c:pt>
                <c:pt idx="17">
                  <c:v>Organic Choco Syrup</c:v>
                </c:pt>
                <c:pt idx="18">
                  <c:v>Raspberry Choco</c:v>
                </c:pt>
                <c:pt idx="19">
                  <c:v>Baker's Choco Chips</c:v>
                </c:pt>
                <c:pt idx="20">
                  <c:v>Almond Choco</c:v>
                </c:pt>
                <c:pt idx="21">
                  <c:v>Choco Coated Almonds</c:v>
                </c:pt>
              </c:strCache>
            </c:strRef>
          </c:cat>
          <c:val>
            <c:numRef>
              <c:f>Лист2!$B$30:$B$51</c:f>
              <c:numCache>
                <c:formatCode>General</c:formatCode>
                <c:ptCount val="22"/>
                <c:pt idx="0">
                  <c:v>29810</c:v>
                </c:pt>
                <c:pt idx="1">
                  <c:v>26969</c:v>
                </c:pt>
                <c:pt idx="2">
                  <c:v>26678</c:v>
                </c:pt>
                <c:pt idx="3">
                  <c:v>26662</c:v>
                </c:pt>
                <c:pt idx="4">
                  <c:v>26576</c:v>
                </c:pt>
                <c:pt idx="5">
                  <c:v>26402</c:v>
                </c:pt>
                <c:pt idx="6">
                  <c:v>25436</c:v>
                </c:pt>
                <c:pt idx="7">
                  <c:v>25339</c:v>
                </c:pt>
                <c:pt idx="8">
                  <c:v>25158</c:v>
                </c:pt>
                <c:pt idx="9">
                  <c:v>25156</c:v>
                </c:pt>
                <c:pt idx="10">
                  <c:v>25149</c:v>
                </c:pt>
                <c:pt idx="11">
                  <c:v>24818</c:v>
                </c:pt>
                <c:pt idx="12">
                  <c:v>24524</c:v>
                </c:pt>
                <c:pt idx="13">
                  <c:v>23828</c:v>
                </c:pt>
                <c:pt idx="14">
                  <c:v>23736</c:v>
                </c:pt>
                <c:pt idx="15">
                  <c:v>23632</c:v>
                </c:pt>
                <c:pt idx="16">
                  <c:v>23607</c:v>
                </c:pt>
                <c:pt idx="17">
                  <c:v>23602</c:v>
                </c:pt>
                <c:pt idx="18">
                  <c:v>21672</c:v>
                </c:pt>
                <c:pt idx="19">
                  <c:v>21448</c:v>
                </c:pt>
                <c:pt idx="20">
                  <c:v>20558</c:v>
                </c:pt>
                <c:pt idx="21">
                  <c:v>19677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50-4E98-9485-243502266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829920904"/>
        <c:axId val="829927136"/>
      </c:barChart>
      <c:catAx>
        <c:axId val="829920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927136"/>
        <c:crosses val="autoZero"/>
        <c:auto val="1"/>
        <c:lblAlgn val="ctr"/>
        <c:lblOffset val="100"/>
        <c:noMultiLvlLbl val="0"/>
      </c:catAx>
      <c:valAx>
        <c:axId val="8299271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920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bg-BG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Лист2!$E$29</c:f>
              <c:strCache>
                <c:ptCount val="1"/>
                <c:pt idx="0">
                  <c:v>revenue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Лист2!$D$30:$D$51</c:f>
              <c:strCache>
                <c:ptCount val="22"/>
                <c:pt idx="0">
                  <c:v>Smooth Sliky Salty</c:v>
                </c:pt>
                <c:pt idx="1">
                  <c:v>50% Dark Bites</c:v>
                </c:pt>
                <c:pt idx="2">
                  <c:v>White Choc</c:v>
                </c:pt>
                <c:pt idx="3">
                  <c:v>Peanut Butter Cubes</c:v>
                </c:pt>
                <c:pt idx="4">
                  <c:v>Eclairs</c:v>
                </c:pt>
                <c:pt idx="5">
                  <c:v>99% Dark &amp; Pure</c:v>
                </c:pt>
                <c:pt idx="6">
                  <c:v>85% Dark Bars</c:v>
                </c:pt>
                <c:pt idx="7">
                  <c:v>Organic Choco Syrup</c:v>
                </c:pt>
                <c:pt idx="8">
                  <c:v>Spicy Special Slims</c:v>
                </c:pt>
                <c:pt idx="9">
                  <c:v>Mint Chip Choco</c:v>
                </c:pt>
                <c:pt idx="10">
                  <c:v>Almond Choco</c:v>
                </c:pt>
                <c:pt idx="11">
                  <c:v>Manuka Honey Choco</c:v>
                </c:pt>
                <c:pt idx="12">
                  <c:v>Milk Bars</c:v>
                </c:pt>
                <c:pt idx="13">
                  <c:v>Raspberry Choco</c:v>
                </c:pt>
                <c:pt idx="14">
                  <c:v>After Nines</c:v>
                </c:pt>
                <c:pt idx="15">
                  <c:v>Fruit &amp; Nut Bars</c:v>
                </c:pt>
                <c:pt idx="16">
                  <c:v>Orange Choco</c:v>
                </c:pt>
                <c:pt idx="17">
                  <c:v>Drinking Coco</c:v>
                </c:pt>
                <c:pt idx="18">
                  <c:v>Baker's Choco Chips</c:v>
                </c:pt>
                <c:pt idx="19">
                  <c:v>Choco Coated Almonds</c:v>
                </c:pt>
                <c:pt idx="20">
                  <c:v>Caramel Stuffed Bars</c:v>
                </c:pt>
                <c:pt idx="21">
                  <c:v>70% Dark Bites</c:v>
                </c:pt>
              </c:strCache>
            </c:strRef>
          </c:cat>
          <c:val>
            <c:numRef>
              <c:f>Лист2!$E$30:$E$51</c:f>
              <c:numCache>
                <c:formatCode>_("$"* #,##0_);_("$"* \(#,##0\);_("$"* "-"??_);_(@_)</c:formatCode>
                <c:ptCount val="22"/>
                <c:pt idx="0">
                  <c:v>1120201.0900000001</c:v>
                </c:pt>
                <c:pt idx="1">
                  <c:v>1087659.3500000001</c:v>
                </c:pt>
                <c:pt idx="2">
                  <c:v>1054257</c:v>
                </c:pt>
                <c:pt idx="3">
                  <c:v>1036591.09</c:v>
                </c:pt>
                <c:pt idx="4">
                  <c:v>996947.96</c:v>
                </c:pt>
                <c:pt idx="5">
                  <c:v>960033.45</c:v>
                </c:pt>
                <c:pt idx="6">
                  <c:v>955268.24</c:v>
                </c:pt>
                <c:pt idx="7">
                  <c:v>945345.73</c:v>
                </c:pt>
                <c:pt idx="8">
                  <c:v>938131.69</c:v>
                </c:pt>
                <c:pt idx="9">
                  <c:v>904989.55</c:v>
                </c:pt>
                <c:pt idx="10">
                  <c:v>890454.65</c:v>
                </c:pt>
                <c:pt idx="11">
                  <c:v>885208.03</c:v>
                </c:pt>
                <c:pt idx="12">
                  <c:v>866273.62</c:v>
                </c:pt>
                <c:pt idx="13">
                  <c:v>845388.41</c:v>
                </c:pt>
                <c:pt idx="14">
                  <c:v>837215.67</c:v>
                </c:pt>
                <c:pt idx="15">
                  <c:v>829278.96</c:v>
                </c:pt>
                <c:pt idx="16">
                  <c:v>824070.85</c:v>
                </c:pt>
                <c:pt idx="17">
                  <c:v>822245.57</c:v>
                </c:pt>
                <c:pt idx="18">
                  <c:v>799085.67</c:v>
                </c:pt>
                <c:pt idx="19">
                  <c:v>773062.91</c:v>
                </c:pt>
                <c:pt idx="20">
                  <c:v>742516.15</c:v>
                </c:pt>
                <c:pt idx="21">
                  <c:v>677346.22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CB-4C92-B4B6-E014756DB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837918864"/>
        <c:axId val="837919192"/>
      </c:barChart>
      <c:catAx>
        <c:axId val="83791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919192"/>
        <c:crosses val="autoZero"/>
        <c:auto val="1"/>
        <c:lblAlgn val="ctr"/>
        <c:lblOffset val="100"/>
        <c:noMultiLvlLbl val="0"/>
      </c:catAx>
      <c:valAx>
        <c:axId val="8379191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91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bg-BG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Лист2!$M$2</c:f>
              <c:strCache>
                <c:ptCount val="1"/>
                <c:pt idx="0">
                  <c:v>price_avg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Лист2!$L$3:$L$24</c:f>
              <c:strCache>
                <c:ptCount val="22"/>
                <c:pt idx="0">
                  <c:v>Almond Choco</c:v>
                </c:pt>
                <c:pt idx="1">
                  <c:v>White Choc</c:v>
                </c:pt>
                <c:pt idx="2">
                  <c:v>Smooth Sliky Salty</c:v>
                </c:pt>
                <c:pt idx="3">
                  <c:v>Peanut Butter Cubes</c:v>
                </c:pt>
                <c:pt idx="4">
                  <c:v>85% Dark Bars</c:v>
                </c:pt>
                <c:pt idx="5">
                  <c:v>Organic Choco Syrup</c:v>
                </c:pt>
                <c:pt idx="6">
                  <c:v>Choco Coated Almonds</c:v>
                </c:pt>
                <c:pt idx="7">
                  <c:v>Raspberry Choco</c:v>
                </c:pt>
                <c:pt idx="8">
                  <c:v>99% Dark &amp; Pure</c:v>
                </c:pt>
                <c:pt idx="9">
                  <c:v>Eclairs</c:v>
                </c:pt>
                <c:pt idx="10">
                  <c:v>Manuka Honey Choco</c:v>
                </c:pt>
                <c:pt idx="11">
                  <c:v>Baker's Choco Chips</c:v>
                </c:pt>
                <c:pt idx="12">
                  <c:v>50% Dark Bites</c:v>
                </c:pt>
                <c:pt idx="13">
                  <c:v>Mint Chip Choco</c:v>
                </c:pt>
                <c:pt idx="14">
                  <c:v>Spicy Special Slims</c:v>
                </c:pt>
                <c:pt idx="15">
                  <c:v>Fruit &amp; Nut Bars</c:v>
                </c:pt>
                <c:pt idx="16">
                  <c:v>Orange Choco</c:v>
                </c:pt>
                <c:pt idx="17">
                  <c:v>Milk Bars</c:v>
                </c:pt>
                <c:pt idx="18">
                  <c:v>After Nines</c:v>
                </c:pt>
                <c:pt idx="19">
                  <c:v>Drinking Coco</c:v>
                </c:pt>
                <c:pt idx="20">
                  <c:v>Caramel Stuffed Bars</c:v>
                </c:pt>
                <c:pt idx="21">
                  <c:v>70% Dark Bites</c:v>
                </c:pt>
              </c:strCache>
            </c:strRef>
          </c:cat>
          <c:val>
            <c:numRef>
              <c:f>Лист2!$M$3:$M$24</c:f>
              <c:numCache>
                <c:formatCode>_("$"* #,##0.00_);_("$"* \(#,##0.00\);_("$"* "-"??_);_(@_)</c:formatCode>
                <c:ptCount val="22"/>
                <c:pt idx="0">
                  <c:v>43.314264999999999</c:v>
                </c:pt>
                <c:pt idx="1">
                  <c:v>41.905437999999997</c:v>
                </c:pt>
                <c:pt idx="2">
                  <c:v>41.536619000000002</c:v>
                </c:pt>
                <c:pt idx="3">
                  <c:v>40.908918999999997</c:v>
                </c:pt>
                <c:pt idx="4">
                  <c:v>40.090156</c:v>
                </c:pt>
                <c:pt idx="5">
                  <c:v>40.053628000000003</c:v>
                </c:pt>
                <c:pt idx="6">
                  <c:v>39.287641000000001</c:v>
                </c:pt>
                <c:pt idx="7">
                  <c:v>39.008324999999999</c:v>
                </c:pt>
                <c:pt idx="8">
                  <c:v>38.682949999999998</c:v>
                </c:pt>
                <c:pt idx="9">
                  <c:v>37.369666000000002</c:v>
                </c:pt>
                <c:pt idx="10">
                  <c:v>37.293900999999998</c:v>
                </c:pt>
                <c:pt idx="11">
                  <c:v>37.256884999999997</c:v>
                </c:pt>
                <c:pt idx="12">
                  <c:v>36.486392000000002</c:v>
                </c:pt>
                <c:pt idx="13">
                  <c:v>35.985111000000003</c:v>
                </c:pt>
                <c:pt idx="14">
                  <c:v>35.186095999999999</c:v>
                </c:pt>
                <c:pt idx="15">
                  <c:v>35.091357000000002</c:v>
                </c:pt>
                <c:pt idx="16">
                  <c:v>34.907902</c:v>
                </c:pt>
                <c:pt idx="17">
                  <c:v>34.056990999999996</c:v>
                </c:pt>
                <c:pt idx="18">
                  <c:v>33.280954000000001</c:v>
                </c:pt>
                <c:pt idx="19">
                  <c:v>31.143305999999999</c:v>
                </c:pt>
                <c:pt idx="20">
                  <c:v>27.939349</c:v>
                </c:pt>
                <c:pt idx="21">
                  <c:v>27.619727999999999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ED-4D3B-AE2D-A6B1542D3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835394824"/>
        <c:axId val="828220024"/>
      </c:barChart>
      <c:catAx>
        <c:axId val="835394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220024"/>
        <c:crosses val="autoZero"/>
        <c:auto val="1"/>
        <c:lblAlgn val="ctr"/>
        <c:lblOffset val="100"/>
        <c:noMultiLvlLbl val="0"/>
      </c:catAx>
      <c:valAx>
        <c:axId val="8282200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394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bg-BG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BOXES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Лист3!$B$1</c:f>
              <c:strCache>
                <c:ptCount val="1"/>
                <c:pt idx="0">
                  <c:v>boxes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Лист3!$A$2:$A$9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Лист3!$B$2:$B$9</c:f>
              <c:numCache>
                <c:formatCode>General</c:formatCode>
                <c:ptCount val="8"/>
                <c:pt idx="0">
                  <c:v>84162</c:v>
                </c:pt>
                <c:pt idx="1">
                  <c:v>54917</c:v>
                </c:pt>
                <c:pt idx="2">
                  <c:v>59633</c:v>
                </c:pt>
                <c:pt idx="3">
                  <c:v>64216</c:v>
                </c:pt>
                <c:pt idx="4">
                  <c:v>66662</c:v>
                </c:pt>
                <c:pt idx="5">
                  <c:v>80357</c:v>
                </c:pt>
                <c:pt idx="6">
                  <c:v>69808</c:v>
                </c:pt>
                <c:pt idx="7">
                  <c:v>60682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6B-49CE-AE7C-F115DCB44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144320"/>
        <c:axId val="836147928"/>
      </c:scatterChart>
      <c:valAx>
        <c:axId val="83614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147928"/>
        <c:crosses val="autoZero"/>
        <c:crossBetween val="midCat"/>
      </c:valAx>
      <c:valAx>
        <c:axId val="836147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144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bg-BG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Лист3!$E$1</c:f>
              <c:strCache>
                <c:ptCount val="1"/>
                <c:pt idx="0">
                  <c:v>revenue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Лист3!$D$2:$D$9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Лист3!$E$2:$E$9</c:f>
              <c:numCache>
                <c:formatCode>_("$"* #,##0_);_("$"* \(#,##0\);_("$"* "-"??_);_(@_)</c:formatCode>
                <c:ptCount val="8"/>
                <c:pt idx="0">
                  <c:v>2868712.59</c:v>
                </c:pt>
                <c:pt idx="1">
                  <c:v>2232096.9</c:v>
                </c:pt>
                <c:pt idx="2">
                  <c:v>2404769.29</c:v>
                </c:pt>
                <c:pt idx="3">
                  <c:v>2161927.2200000002</c:v>
                </c:pt>
                <c:pt idx="4">
                  <c:v>2415750.5699999998</c:v>
                </c:pt>
                <c:pt idx="5">
                  <c:v>2773931.94</c:v>
                </c:pt>
                <c:pt idx="6">
                  <c:v>2567532.29</c:v>
                </c:pt>
                <c:pt idx="7">
                  <c:v>2366851.06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75-468F-917A-C7F028226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027712"/>
        <c:axId val="827032632"/>
      </c:scatterChart>
      <c:valAx>
        <c:axId val="82702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032632"/>
        <c:crosses val="autoZero"/>
        <c:crossBetween val="midCat"/>
      </c:valAx>
      <c:valAx>
        <c:axId val="82703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02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bg-BG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sHARE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Лист3!$B$13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0D5-461C-AABF-60FF1E882B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0D5-461C-AABF-60FF1E882B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0D5-461C-AABF-60FF1E882BB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0D5-461C-AABF-60FF1E882BB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0D5-461C-AABF-60FF1E882BB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0D5-461C-AABF-60FF1E882B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Лист3!$A$14:$A$19</c:f>
              <c:strCache>
                <c:ptCount val="6"/>
                <c:pt idx="0">
                  <c:v>Australia</c:v>
                </c:pt>
                <c:pt idx="1">
                  <c:v>UK</c:v>
                </c:pt>
                <c:pt idx="2">
                  <c:v>India</c:v>
                </c:pt>
                <c:pt idx="3">
                  <c:v>USA</c:v>
                </c:pt>
                <c:pt idx="4">
                  <c:v>Canada</c:v>
                </c:pt>
                <c:pt idx="5">
                  <c:v>New Zealand</c:v>
                </c:pt>
              </c:strCache>
            </c:strRef>
          </c:cat>
          <c:val>
            <c:numRef>
              <c:f>Лист3!$B$14:$B$19</c:f>
              <c:numCache>
                <c:formatCode>_("$"* #,##0_);_("$"* \(#,##0\);_("$"* "-"??_);_(@_)</c:formatCode>
                <c:ptCount val="6"/>
                <c:pt idx="0">
                  <c:v>3646444.35</c:v>
                </c:pt>
                <c:pt idx="1">
                  <c:v>3365388.9</c:v>
                </c:pt>
                <c:pt idx="2">
                  <c:v>3343730.83</c:v>
                </c:pt>
                <c:pt idx="3">
                  <c:v>3313858.09</c:v>
                </c:pt>
                <c:pt idx="4">
                  <c:v>3078495.65</c:v>
                </c:pt>
                <c:pt idx="5">
                  <c:v>3043654.04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D5-461C-AABF-60FF1E882BB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bg-BG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BOXES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Лист3!$I$12</c:f>
              <c:strCache>
                <c:ptCount val="1"/>
                <c:pt idx="0">
                  <c:v>Boxes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Лист3!$H$13:$H$18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UK</c:v>
                </c:pt>
                <c:pt idx="3">
                  <c:v>India</c:v>
                </c:pt>
                <c:pt idx="4">
                  <c:v>USA</c:v>
                </c:pt>
                <c:pt idx="5">
                  <c:v>New Zealand</c:v>
                </c:pt>
              </c:strCache>
            </c:strRef>
          </c:cat>
          <c:val>
            <c:numRef>
              <c:f>Лист3!$I$13:$I$18</c:f>
              <c:numCache>
                <c:formatCode>General</c:formatCode>
                <c:ptCount val="6"/>
                <c:pt idx="0">
                  <c:v>99618</c:v>
                </c:pt>
                <c:pt idx="1">
                  <c:v>95158</c:v>
                </c:pt>
                <c:pt idx="2">
                  <c:v>92523</c:v>
                </c:pt>
                <c:pt idx="3">
                  <c:v>89968</c:v>
                </c:pt>
                <c:pt idx="4">
                  <c:v>81820</c:v>
                </c:pt>
                <c:pt idx="5">
                  <c:v>81350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4-4450-BCD9-00641ECBE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04909328"/>
        <c:axId val="1004900144"/>
      </c:barChart>
      <c:catAx>
        <c:axId val="1004909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900144"/>
        <c:crosses val="autoZero"/>
        <c:auto val="1"/>
        <c:lblAlgn val="ctr"/>
        <c:lblOffset val="100"/>
        <c:noMultiLvlLbl val="0"/>
      </c:catAx>
      <c:valAx>
        <c:axId val="100490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909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bg-BG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30336832895888"/>
          <c:y val="0.16051508267566078"/>
          <c:w val="0.75442804024496923"/>
          <c:h val="0.72421840191245213"/>
        </c:manualLayout>
      </c:layout>
      <c:scatterChart>
        <c:scatterStyle val="lineMarker"/>
        <c:varyColors val="0"/>
        <c:ser>
          <c:idx val="0"/>
          <c:order val="0"/>
          <c:tx>
            <c:strRef>
              <c:f>Лист3!$F$12</c:f>
              <c:strCache>
                <c:ptCount val="1"/>
                <c:pt idx="0">
                  <c:v>AVG price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1944444444444445"/>
                  <c:y val="-5.4892590256709305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9E7-4883-AE76-E2FEC6888934}"/>
                </c:ext>
              </c:extLst>
            </c:dLbl>
            <c:dLbl>
              <c:idx val="2"/>
              <c:layout>
                <c:manualLayout>
                  <c:x val="-0.11666666666666667"/>
                  <c:y val="-5.9466972778101791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9E7-4883-AE76-E2FEC6888934}"/>
                </c:ext>
              </c:extLst>
            </c:dLbl>
            <c:dLbl>
              <c:idx val="3"/>
              <c:layout>
                <c:manualLayout>
                  <c:x val="-8.8888888888888892E-2"/>
                  <c:y val="-5.946697277810175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9E7-4883-AE76-E2FEC6888934}"/>
                </c:ext>
              </c:extLst>
            </c:dLbl>
            <c:dLbl>
              <c:idx val="4"/>
              <c:layout>
                <c:manualLayout>
                  <c:x val="-5.2777777777777778E-2"/>
                  <c:y val="-4.5743825213924422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9E7-4883-AE76-E2FEC6888934}"/>
                </c:ext>
              </c:extLst>
            </c:dLbl>
            <c:dLbl>
              <c:idx val="5"/>
              <c:layout>
                <c:manualLayout>
                  <c:x val="-2.7777777777778798E-3"/>
                  <c:y val="-4.1169442692531998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C9E7-4883-AE76-E2FEC68889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Лист3!$E$13:$E$18</c:f>
              <c:strCache>
                <c:ptCount val="6"/>
                <c:pt idx="0">
                  <c:v>Australia</c:v>
                </c:pt>
                <c:pt idx="1">
                  <c:v>Canada</c:v>
                </c:pt>
                <c:pt idx="2">
                  <c:v>UK</c:v>
                </c:pt>
                <c:pt idx="3">
                  <c:v>India</c:v>
                </c:pt>
                <c:pt idx="4">
                  <c:v>USA</c:v>
                </c:pt>
                <c:pt idx="5">
                  <c:v>New Zealand</c:v>
                </c:pt>
              </c:strCache>
            </c:strRef>
          </c:xVal>
          <c:yVal>
            <c:numRef>
              <c:f>Лист3!$F$13:$F$18</c:f>
              <c:numCache>
                <c:formatCode>_("$"* #,##0.00_);_("$"* \(#,##0.00\);_("$"* "-"??_);_(@_)</c:formatCode>
                <c:ptCount val="6"/>
                <c:pt idx="0">
                  <c:v>36.604272000000002</c:v>
                </c:pt>
                <c:pt idx="1">
                  <c:v>32.351412000000003</c:v>
                </c:pt>
                <c:pt idx="2">
                  <c:v>36.373538000000003</c:v>
                </c:pt>
                <c:pt idx="3">
                  <c:v>37.165779000000001</c:v>
                </c:pt>
                <c:pt idx="4">
                  <c:v>40.501809999999999</c:v>
                </c:pt>
                <c:pt idx="5">
                  <c:v>37.414309000000003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9E7-4883-AE76-E2FEC6888934}"/>
            </c:ext>
          </c:extLst>
        </c:ser>
        <c:dLbls>
          <c:dLblPos val="r"/>
          <c:showLegendKey val="0"/>
          <c:showVal val="1"/>
          <c:showCatName val="1"/>
          <c:showSerName val="0"/>
          <c:showPercent val="0"/>
          <c:showBubbleSize val="0"/>
        </c:dLbls>
        <c:axId val="1004866032"/>
        <c:axId val="1004867016"/>
      </c:scatterChart>
      <c:valAx>
        <c:axId val="100486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867016"/>
        <c:crosses val="autoZero"/>
        <c:crossBetween val="midCat"/>
      </c:valAx>
      <c:valAx>
        <c:axId val="1004867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86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bg-BG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Лист3!$B$13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Лист3!$A$14:$A$19</c:f>
              <c:strCache>
                <c:ptCount val="6"/>
                <c:pt idx="0">
                  <c:v>Australia</c:v>
                </c:pt>
                <c:pt idx="1">
                  <c:v>UK</c:v>
                </c:pt>
                <c:pt idx="2">
                  <c:v>India</c:v>
                </c:pt>
                <c:pt idx="3">
                  <c:v>USA</c:v>
                </c:pt>
                <c:pt idx="4">
                  <c:v>Canada</c:v>
                </c:pt>
                <c:pt idx="5">
                  <c:v>New Zealand</c:v>
                </c:pt>
              </c:strCache>
            </c:strRef>
          </c:cat>
          <c:val>
            <c:numRef>
              <c:f>Лист3!$B$14:$B$19</c:f>
              <c:numCache>
                <c:formatCode>_("$"* #,##0_);_("$"* \(#,##0\);_("$"* "-"??_);_(@_)</c:formatCode>
                <c:ptCount val="6"/>
                <c:pt idx="0">
                  <c:v>3646444.35</c:v>
                </c:pt>
                <c:pt idx="1">
                  <c:v>3365388.9</c:v>
                </c:pt>
                <c:pt idx="2">
                  <c:v>3343730.83</c:v>
                </c:pt>
                <c:pt idx="3">
                  <c:v>3313858.09</c:v>
                </c:pt>
                <c:pt idx="4">
                  <c:v>3078495.65</c:v>
                </c:pt>
                <c:pt idx="5">
                  <c:v>3043654.04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0-45A4-B11A-59F6FD004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04883088"/>
        <c:axId val="1004881448"/>
      </c:barChart>
      <c:catAx>
        <c:axId val="100488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881448"/>
        <c:crosses val="autoZero"/>
        <c:auto val="1"/>
        <c:lblAlgn val="ctr"/>
        <c:lblOffset val="100"/>
        <c:noMultiLvlLbl val="0"/>
      </c:catAx>
      <c:valAx>
        <c:axId val="1004881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88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290945</xdr:colOff>
      <xdr:row>4</xdr:row>
      <xdr:rowOff>27709</xdr:rowOff>
    </xdr:from>
    <xdr:to>
      <xdr:col>44</xdr:col>
      <xdr:colOff>581891</xdr:colOff>
      <xdr:row>40</xdr:row>
      <xdr:rowOff>110836</xdr:rowOff>
    </xdr:to>
    <xdr:sp macro="" textlink="">
      <xdr:nvSpPr>
        <xdr:cNvPr id="12" name="Закръглен правоъгълник 11"/>
        <xdr:cNvSpPr/>
      </xdr:nvSpPr>
      <xdr:spPr>
        <a:xfrm>
          <a:off x="16140545" y="748145"/>
          <a:ext cx="11263746" cy="6567055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4</xdr:row>
      <xdr:rowOff>82379</xdr:rowOff>
    </xdr:from>
    <xdr:to>
      <xdr:col>23</xdr:col>
      <xdr:colOff>288325</xdr:colOff>
      <xdr:row>39</xdr:row>
      <xdr:rowOff>166254</xdr:rowOff>
    </xdr:to>
    <xdr:sp macro="" textlink="">
      <xdr:nvSpPr>
        <xdr:cNvPr id="5" name="Закръглен правоъгълник 4"/>
        <xdr:cNvSpPr/>
      </xdr:nvSpPr>
      <xdr:spPr>
        <a:xfrm>
          <a:off x="609600" y="802815"/>
          <a:ext cx="13699525" cy="638769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401596</xdr:colOff>
      <xdr:row>5</xdr:row>
      <xdr:rowOff>82378</xdr:rowOff>
    </xdr:from>
    <xdr:to>
      <xdr:col>23</xdr:col>
      <xdr:colOff>30893</xdr:colOff>
      <xdr:row>21</xdr:row>
      <xdr:rowOff>82379</xdr:rowOff>
    </xdr:to>
    <xdr:sp macro="" textlink="">
      <xdr:nvSpPr>
        <xdr:cNvPr id="6" name="Закръглен правоъгълник 5"/>
        <xdr:cNvSpPr/>
      </xdr:nvSpPr>
      <xdr:spPr>
        <a:xfrm>
          <a:off x="8299623" y="1009135"/>
          <a:ext cx="5704702" cy="2965622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133864</xdr:colOff>
      <xdr:row>5</xdr:row>
      <xdr:rowOff>164758</xdr:rowOff>
    </xdr:from>
    <xdr:to>
      <xdr:col>22</xdr:col>
      <xdr:colOff>298622</xdr:colOff>
      <xdr:row>21</xdr:row>
      <xdr:rowOff>20595</xdr:rowOff>
    </xdr:to>
    <xdr:graphicFrame macro="">
      <xdr:nvGraphicFramePr>
        <xdr:cNvPr id="3" name="Диагра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288324</xdr:colOff>
      <xdr:row>5</xdr:row>
      <xdr:rowOff>41189</xdr:rowOff>
    </xdr:from>
    <xdr:to>
      <xdr:col>10</xdr:col>
      <xdr:colOff>442783</xdr:colOff>
      <xdr:row>22</xdr:row>
      <xdr:rowOff>20593</xdr:rowOff>
    </xdr:to>
    <xdr:sp macro="" textlink="">
      <xdr:nvSpPr>
        <xdr:cNvPr id="7" name="Закръглен правоъгълник 6"/>
        <xdr:cNvSpPr/>
      </xdr:nvSpPr>
      <xdr:spPr>
        <a:xfrm>
          <a:off x="895865" y="967946"/>
          <a:ext cx="5622323" cy="313037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52500</xdr:colOff>
      <xdr:row>5</xdr:row>
      <xdr:rowOff>146356</xdr:rowOff>
    </xdr:from>
    <xdr:to>
      <xdr:col>9</xdr:col>
      <xdr:colOff>525162</xdr:colOff>
      <xdr:row>21</xdr:row>
      <xdr:rowOff>164757</xdr:rowOff>
    </xdr:to>
    <xdr:graphicFrame macro="">
      <xdr:nvGraphicFramePr>
        <xdr:cNvPr id="2" name="Диагра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514865</xdr:colOff>
      <xdr:row>22</xdr:row>
      <xdr:rowOff>175053</xdr:rowOff>
    </xdr:from>
    <xdr:to>
      <xdr:col>16</xdr:col>
      <xdr:colOff>432486</xdr:colOff>
      <xdr:row>38</xdr:row>
      <xdr:rowOff>175053</xdr:rowOff>
    </xdr:to>
    <xdr:sp macro="" textlink="">
      <xdr:nvSpPr>
        <xdr:cNvPr id="8" name="Закръглен правоъгълник 7"/>
        <xdr:cNvSpPr/>
      </xdr:nvSpPr>
      <xdr:spPr>
        <a:xfrm>
          <a:off x="4160108" y="4252783"/>
          <a:ext cx="5993027" cy="296562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216242</xdr:colOff>
      <xdr:row>23</xdr:row>
      <xdr:rowOff>113271</xdr:rowOff>
    </xdr:from>
    <xdr:to>
      <xdr:col>16</xdr:col>
      <xdr:colOff>10296</xdr:colOff>
      <xdr:row>38</xdr:row>
      <xdr:rowOff>75551</xdr:rowOff>
    </xdr:to>
    <xdr:graphicFrame macro="">
      <xdr:nvGraphicFramePr>
        <xdr:cNvPr id="4" name="Диагра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83127</xdr:colOff>
      <xdr:row>5</xdr:row>
      <xdr:rowOff>110835</xdr:rowOff>
    </xdr:from>
    <xdr:to>
      <xdr:col>13</xdr:col>
      <xdr:colOff>304800</xdr:colOff>
      <xdr:row>9</xdr:row>
      <xdr:rowOff>166254</xdr:rowOff>
    </xdr:to>
    <xdr:sp macro="" textlink="">
      <xdr:nvSpPr>
        <xdr:cNvPr id="11" name="Текстово поле 10"/>
        <xdr:cNvSpPr txBox="1"/>
      </xdr:nvSpPr>
      <xdr:spPr>
        <a:xfrm>
          <a:off x="6788727" y="1011380"/>
          <a:ext cx="1440873" cy="77585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>
              <a:solidFill>
                <a:schemeClr val="bg1"/>
              </a:solidFill>
            </a:rPr>
            <a:t>PRODUCT ANALYSIS</a:t>
          </a:r>
        </a:p>
      </xdr:txBody>
    </xdr:sp>
    <xdr:clientData/>
  </xdr:twoCellAnchor>
  <xdr:twoCellAnchor>
    <xdr:from>
      <xdr:col>27</xdr:col>
      <xdr:colOff>69273</xdr:colOff>
      <xdr:row>4</xdr:row>
      <xdr:rowOff>152402</xdr:rowOff>
    </xdr:from>
    <xdr:to>
      <xdr:col>37</xdr:col>
      <xdr:colOff>180109</xdr:colOff>
      <xdr:row>22</xdr:row>
      <xdr:rowOff>55419</xdr:rowOff>
    </xdr:to>
    <xdr:sp macro="" textlink="">
      <xdr:nvSpPr>
        <xdr:cNvPr id="13" name="Закръглен правоъгълник 12"/>
        <xdr:cNvSpPr/>
      </xdr:nvSpPr>
      <xdr:spPr>
        <a:xfrm>
          <a:off x="16528473" y="872838"/>
          <a:ext cx="6206836" cy="3144981"/>
        </a:xfrm>
        <a:prstGeom prst="roundRect">
          <a:avLst/>
        </a:prstGeom>
        <a:solidFill>
          <a:schemeClr val="bg1"/>
        </a:solidFill>
        <a:ln>
          <a:solidFill>
            <a:schemeClr val="accent1">
              <a:shade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374071</xdr:colOff>
      <xdr:row>6</xdr:row>
      <xdr:rowOff>1</xdr:rowOff>
    </xdr:from>
    <xdr:to>
      <xdr:col>36</xdr:col>
      <xdr:colOff>554180</xdr:colOff>
      <xdr:row>21</xdr:row>
      <xdr:rowOff>41565</xdr:rowOff>
    </xdr:to>
    <xdr:graphicFrame macro="">
      <xdr:nvGraphicFramePr>
        <xdr:cNvPr id="9" name="Диагра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471055</xdr:colOff>
      <xdr:row>22</xdr:row>
      <xdr:rowOff>83128</xdr:rowOff>
    </xdr:from>
    <xdr:to>
      <xdr:col>44</xdr:col>
      <xdr:colOff>249382</xdr:colOff>
      <xdr:row>40</xdr:row>
      <xdr:rowOff>0</xdr:rowOff>
    </xdr:to>
    <xdr:sp macro="" textlink="">
      <xdr:nvSpPr>
        <xdr:cNvPr id="14" name="Закръглен правоъгълник 13"/>
        <xdr:cNvSpPr/>
      </xdr:nvSpPr>
      <xdr:spPr>
        <a:xfrm>
          <a:off x="20587855" y="4045528"/>
          <a:ext cx="6483927" cy="3158836"/>
        </a:xfrm>
        <a:prstGeom prst="roundRect">
          <a:avLst/>
        </a:prstGeom>
        <a:solidFill>
          <a:schemeClr val="bg1"/>
        </a:solidFill>
        <a:ln>
          <a:solidFill>
            <a:schemeClr val="accent1">
              <a:shade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124692</xdr:colOff>
      <xdr:row>23</xdr:row>
      <xdr:rowOff>13853</xdr:rowOff>
    </xdr:from>
    <xdr:to>
      <xdr:col>43</xdr:col>
      <xdr:colOff>568037</xdr:colOff>
      <xdr:row>38</xdr:row>
      <xdr:rowOff>166254</xdr:rowOff>
    </xdr:to>
    <xdr:graphicFrame macro="">
      <xdr:nvGraphicFramePr>
        <xdr:cNvPr id="10" name="Диагра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47107</xdr:colOff>
      <xdr:row>44</xdr:row>
      <xdr:rowOff>121920</xdr:rowOff>
    </xdr:from>
    <xdr:to>
      <xdr:col>35</xdr:col>
      <xdr:colOff>68103</xdr:colOff>
      <xdr:row>82</xdr:row>
      <xdr:rowOff>143774</xdr:rowOff>
    </xdr:to>
    <xdr:sp macro="" textlink="">
      <xdr:nvSpPr>
        <xdr:cNvPr id="15" name="Закръглен правоъгълник 14"/>
        <xdr:cNvSpPr/>
      </xdr:nvSpPr>
      <xdr:spPr>
        <a:xfrm>
          <a:off x="4351739" y="8356867"/>
          <a:ext cx="17239522" cy="713385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207818</xdr:colOff>
      <xdr:row>6</xdr:row>
      <xdr:rowOff>0</xdr:rowOff>
    </xdr:from>
    <xdr:to>
      <xdr:col>43</xdr:col>
      <xdr:colOff>554182</xdr:colOff>
      <xdr:row>11</xdr:row>
      <xdr:rowOff>27709</xdr:rowOff>
    </xdr:to>
    <xdr:sp macro="" textlink="">
      <xdr:nvSpPr>
        <xdr:cNvPr id="16" name="Текстово поле 15"/>
        <xdr:cNvSpPr txBox="1"/>
      </xdr:nvSpPr>
      <xdr:spPr>
        <a:xfrm>
          <a:off x="23372618" y="1080655"/>
          <a:ext cx="3394364" cy="92825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800" b="1">
              <a:solidFill>
                <a:schemeClr val="bg1"/>
              </a:solidFill>
            </a:rPr>
            <a:t>MONTLY ANALYSIS</a:t>
          </a:r>
        </a:p>
      </xdr:txBody>
    </xdr:sp>
    <xdr:clientData/>
  </xdr:twoCellAnchor>
  <xdr:twoCellAnchor>
    <xdr:from>
      <xdr:col>24</xdr:col>
      <xdr:colOff>301925</xdr:colOff>
      <xdr:row>45</xdr:row>
      <xdr:rowOff>100642</xdr:rowOff>
    </xdr:from>
    <xdr:to>
      <xdr:col>34</xdr:col>
      <xdr:colOff>71888</xdr:colOff>
      <xdr:row>62</xdr:row>
      <xdr:rowOff>172529</xdr:rowOff>
    </xdr:to>
    <xdr:sp macro="" textlink="">
      <xdr:nvSpPr>
        <xdr:cNvPr id="21" name="Закръглен правоъгълник 20"/>
        <xdr:cNvSpPr/>
      </xdr:nvSpPr>
      <xdr:spPr>
        <a:xfrm>
          <a:off x="14794302" y="8511397"/>
          <a:ext cx="5808454" cy="3249283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14378</xdr:colOff>
      <xdr:row>46</xdr:row>
      <xdr:rowOff>77062</xdr:rowOff>
    </xdr:from>
    <xdr:to>
      <xdr:col>33</xdr:col>
      <xdr:colOff>416943</xdr:colOff>
      <xdr:row>62</xdr:row>
      <xdr:rowOff>0</xdr:rowOff>
    </xdr:to>
    <xdr:graphicFrame macro="">
      <xdr:nvGraphicFramePr>
        <xdr:cNvPr id="18" name="Диаграма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273172</xdr:colOff>
      <xdr:row>63</xdr:row>
      <xdr:rowOff>146073</xdr:rowOff>
    </xdr:from>
    <xdr:to>
      <xdr:col>34</xdr:col>
      <xdr:colOff>246717</xdr:colOff>
      <xdr:row>81</xdr:row>
      <xdr:rowOff>31055</xdr:rowOff>
    </xdr:to>
    <xdr:sp macro="" textlink="">
      <xdr:nvSpPr>
        <xdr:cNvPr id="22" name="Закръглен правоъгълник 21"/>
        <xdr:cNvSpPr/>
      </xdr:nvSpPr>
      <xdr:spPr>
        <a:xfrm>
          <a:off x="14765549" y="11921130"/>
          <a:ext cx="6012036" cy="3249283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402568</xdr:colOff>
      <xdr:row>65</xdr:row>
      <xdr:rowOff>17827</xdr:rowOff>
    </xdr:from>
    <xdr:to>
      <xdr:col>33</xdr:col>
      <xdr:colOff>517586</xdr:colOff>
      <xdr:row>80</xdr:row>
      <xdr:rowOff>26708</xdr:rowOff>
    </xdr:to>
    <xdr:graphicFrame macro="">
      <xdr:nvGraphicFramePr>
        <xdr:cNvPr id="19" name="Диаграма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372917</xdr:colOff>
      <xdr:row>64</xdr:row>
      <xdr:rowOff>38589</xdr:rowOff>
    </xdr:from>
    <xdr:to>
      <xdr:col>17</xdr:col>
      <xdr:colOff>571900</xdr:colOff>
      <xdr:row>81</xdr:row>
      <xdr:rowOff>110476</xdr:rowOff>
    </xdr:to>
    <xdr:sp macro="" textlink="">
      <xdr:nvSpPr>
        <xdr:cNvPr id="23" name="Закръглен правоъгълник 22"/>
        <xdr:cNvSpPr/>
      </xdr:nvSpPr>
      <xdr:spPr>
        <a:xfrm>
          <a:off x="4606250" y="11650018"/>
          <a:ext cx="6246602" cy="3156172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34459</xdr:colOff>
      <xdr:row>65</xdr:row>
      <xdr:rowOff>84666</xdr:rowOff>
    </xdr:from>
    <xdr:to>
      <xdr:col>17</xdr:col>
      <xdr:colOff>322920</xdr:colOff>
      <xdr:row>80</xdr:row>
      <xdr:rowOff>139138</xdr:rowOff>
    </xdr:to>
    <xdr:graphicFrame macro="">
      <xdr:nvGraphicFramePr>
        <xdr:cNvPr id="20" name="Диаграма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315389</xdr:colOff>
      <xdr:row>45</xdr:row>
      <xdr:rowOff>130080</xdr:rowOff>
    </xdr:from>
    <xdr:to>
      <xdr:col>18</xdr:col>
      <xdr:colOff>12553</xdr:colOff>
      <xdr:row>63</xdr:row>
      <xdr:rowOff>20538</xdr:rowOff>
    </xdr:to>
    <xdr:sp macro="" textlink="">
      <xdr:nvSpPr>
        <xdr:cNvPr id="24" name="Закръглен правоъгълник 23"/>
        <xdr:cNvSpPr/>
      </xdr:nvSpPr>
      <xdr:spPr>
        <a:xfrm>
          <a:off x="4548722" y="8294366"/>
          <a:ext cx="6349545" cy="3156172"/>
        </a:xfrm>
        <a:prstGeom prst="roundRect">
          <a:avLst/>
        </a:prstGeom>
        <a:solidFill>
          <a:schemeClr val="bg1"/>
        </a:solidFill>
        <a:ln>
          <a:solidFill>
            <a:schemeClr val="accent1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8672</xdr:colOff>
      <xdr:row>46</xdr:row>
      <xdr:rowOff>136298</xdr:rowOff>
    </xdr:from>
    <xdr:to>
      <xdr:col>17</xdr:col>
      <xdr:colOff>397773</xdr:colOff>
      <xdr:row>61</xdr:row>
      <xdr:rowOff>136298</xdr:rowOff>
    </xdr:to>
    <xdr:graphicFrame macro="">
      <xdr:nvGraphicFramePr>
        <xdr:cNvPr id="17" name="Диаграма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374268</xdr:colOff>
      <xdr:row>44</xdr:row>
      <xdr:rowOff>137613</xdr:rowOff>
    </xdr:from>
    <xdr:to>
      <xdr:col>22</xdr:col>
      <xdr:colOff>431778</xdr:colOff>
      <xdr:row>51</xdr:row>
      <xdr:rowOff>180744</xdr:rowOff>
    </xdr:to>
    <xdr:sp macro="" textlink="">
      <xdr:nvSpPr>
        <xdr:cNvPr id="25" name="Текстово поле 24"/>
        <xdr:cNvSpPr txBox="1"/>
      </xdr:nvSpPr>
      <xdr:spPr>
        <a:xfrm>
          <a:off x="11864744" y="8120470"/>
          <a:ext cx="1871796" cy="131313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800">
              <a:solidFill>
                <a:schemeClr val="bg1"/>
              </a:solidFill>
            </a:rPr>
            <a:t>MARKET ANALYSIS</a:t>
          </a:r>
        </a:p>
      </xdr:txBody>
    </xdr:sp>
    <xdr:clientData/>
  </xdr:twoCellAnchor>
  <xdr:twoCellAnchor>
    <xdr:from>
      <xdr:col>27</xdr:col>
      <xdr:colOff>290286</xdr:colOff>
      <xdr:row>27</xdr:row>
      <xdr:rowOff>1</xdr:rowOff>
    </xdr:from>
    <xdr:to>
      <xdr:col>33</xdr:col>
      <xdr:colOff>447524</xdr:colOff>
      <xdr:row>37</xdr:row>
      <xdr:rowOff>157238</xdr:rowOff>
    </xdr:to>
    <xdr:sp macro="" textlink="">
      <xdr:nvSpPr>
        <xdr:cNvPr id="26" name="Текстово поле 25"/>
        <xdr:cNvSpPr txBox="1"/>
      </xdr:nvSpPr>
      <xdr:spPr>
        <a:xfrm>
          <a:off x="16618857" y="4898572"/>
          <a:ext cx="3785810" cy="1971523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No strong seasonality is observed, with demand remaining relatively stable across months. </a:t>
          </a:r>
        </a:p>
        <a:p>
          <a:endParaRPr lang="en-US" sz="1100"/>
        </a:p>
      </xdr:txBody>
    </xdr:sp>
    <xdr:clientData/>
  </xdr:twoCellAnchor>
  <xdr:twoCellAnchor>
    <xdr:from>
      <xdr:col>17</xdr:col>
      <xdr:colOff>229810</xdr:colOff>
      <xdr:row>23</xdr:row>
      <xdr:rowOff>145143</xdr:rowOff>
    </xdr:from>
    <xdr:to>
      <xdr:col>22</xdr:col>
      <xdr:colOff>411238</xdr:colOff>
      <xdr:row>37</xdr:row>
      <xdr:rowOff>48381</xdr:rowOff>
    </xdr:to>
    <xdr:sp macro="" textlink="">
      <xdr:nvSpPr>
        <xdr:cNvPr id="27" name="Текстово поле 26"/>
        <xdr:cNvSpPr txBox="1"/>
      </xdr:nvSpPr>
      <xdr:spPr>
        <a:xfrm>
          <a:off x="10510762" y="4318000"/>
          <a:ext cx="3205238" cy="2443238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Almond-based products consistently underperform in volume, suggesting lower consumer preference, although they maintain revenue through higher pricing. </a:t>
          </a:r>
        </a:p>
        <a:p>
          <a:endParaRPr lang="en-US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471714</xdr:colOff>
      <xdr:row>23</xdr:row>
      <xdr:rowOff>145143</xdr:rowOff>
    </xdr:from>
    <xdr:to>
      <xdr:col>6</xdr:col>
      <xdr:colOff>241905</xdr:colOff>
      <xdr:row>37</xdr:row>
      <xdr:rowOff>157238</xdr:rowOff>
    </xdr:to>
    <xdr:sp macro="" textlink="">
      <xdr:nvSpPr>
        <xdr:cNvPr id="28" name="Текстово поле 27"/>
        <xdr:cNvSpPr txBox="1"/>
      </xdr:nvSpPr>
      <xdr:spPr>
        <a:xfrm>
          <a:off x="1076476" y="4318000"/>
          <a:ext cx="2794000" cy="25520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The overall product portfolio is stable and well-balanced, with no clear candidates for removal. </a:t>
          </a:r>
          <a:endParaRPr lang="en-US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278191</xdr:colOff>
      <xdr:row>49</xdr:row>
      <xdr:rowOff>96762</xdr:rowOff>
    </xdr:from>
    <xdr:to>
      <xdr:col>23</xdr:col>
      <xdr:colOff>435428</xdr:colOff>
      <xdr:row>63</xdr:row>
      <xdr:rowOff>93579</xdr:rowOff>
    </xdr:to>
    <xdr:sp macro="" textlink="">
      <xdr:nvSpPr>
        <xdr:cNvPr id="29" name="Текстово поле 28"/>
        <xdr:cNvSpPr txBox="1"/>
      </xdr:nvSpPr>
      <xdr:spPr>
        <a:xfrm>
          <a:off x="11347244" y="9267499"/>
          <a:ext cx="3231973" cy="261702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85750" indent="-285750">
            <a:buFont typeface="Arial" panose="020B0604020202020204" pitchFamily="34" charset="0"/>
            <a:buChar char="•"/>
          </a:pPr>
          <a:r>
            <a:rPr lang="en-US" sz="18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Lower average prices drive higher order volumes. </a:t>
          </a:r>
        </a:p>
        <a:p>
          <a:pPr marL="285750" marR="0" lvl="0" indent="-28575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US" sz="18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New Zealand is the weakest market, with average pricing aligned to others but significantly lower demand, indicating a demand/brand awareness issue rather than pricing. </a:t>
          </a:r>
        </a:p>
        <a:p>
          <a:endParaRPr lang="en-US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451344</xdr:colOff>
      <xdr:row>65</xdr:row>
      <xdr:rowOff>48381</xdr:rowOff>
    </xdr:from>
    <xdr:to>
      <xdr:col>24</xdr:col>
      <xdr:colOff>221533</xdr:colOff>
      <xdr:row>82</xdr:row>
      <xdr:rowOff>0</xdr:rowOff>
    </xdr:to>
    <xdr:sp macro="" textlink="">
      <xdr:nvSpPr>
        <xdr:cNvPr id="30" name="Текстово поле 29"/>
        <xdr:cNvSpPr txBox="1"/>
      </xdr:nvSpPr>
      <xdr:spPr>
        <a:xfrm>
          <a:off x="11520397" y="12213644"/>
          <a:ext cx="3459873" cy="3133303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algn="l"/>
          <a:r>
            <a:rPr lang="en-US" sz="18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Pricing strategy is a key lever: lower-priced markets drive volume, while extreme pricing reduces demand </a:t>
          </a:r>
        </a:p>
        <a:p>
          <a:pPr lvl="0" algn="l"/>
          <a:r>
            <a:rPr lang="en-US" sz="18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Market-specific strategies : </a:t>
          </a:r>
        </a:p>
        <a:p>
          <a:pPr marL="285750" lvl="0" indent="-285750" algn="l">
            <a:buFont typeface="Arial" panose="020B0604020202020204" pitchFamily="34" charset="0"/>
            <a:buChar char="•"/>
          </a:pPr>
          <a:r>
            <a:rPr lang="en-US" sz="18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NZ </a:t>
          </a:r>
          <a:r>
            <a:rPr lang="bg-BG" sz="18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8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demand/marketing focus</a:t>
          </a:r>
          <a:r>
            <a:rPr lang="en-US" sz="1800" b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285750" lvl="0" indent="-285750" algn="l">
            <a:buFont typeface="Arial" panose="020B0604020202020204" pitchFamily="34" charset="0"/>
            <a:buChar char="•"/>
          </a:pPr>
          <a:r>
            <a:rPr lang="en-US" sz="18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Canada </a:t>
          </a:r>
          <a:r>
            <a:rPr lang="bg-BG" sz="18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8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price optimization </a:t>
          </a:r>
        </a:p>
        <a:p>
          <a:pPr marL="285750" lvl="0" indent="-285750" algn="l">
            <a:buFont typeface="Arial" panose="020B0604020202020204" pitchFamily="34" charset="0"/>
            <a:buChar char="•"/>
          </a:pPr>
          <a:r>
            <a:rPr lang="en-US" sz="18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USA </a:t>
          </a:r>
          <a:r>
            <a:rPr lang="bg-BG" sz="18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8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reduce extreme pricing </a:t>
          </a:r>
        </a:p>
        <a:p>
          <a:pPr lvl="0" algn="l"/>
          <a:r>
            <a:rPr lang="en-US" sz="18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Product optimization should focus on positioning, not elimination</a:t>
          </a:r>
        </a:p>
        <a:p>
          <a:endParaRPr 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Външни данни_1" connectionId="3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product" tableColumnId="15"/>
      <queryTableField id="2" name="revenue" tableColumnId="16"/>
      <queryTableField id="3" name="boxes" tableColumnId="17"/>
      <queryTableField id="4" name="price_avg" tableColumnId="18"/>
      <queryTableField id="5" name="total_revenue" tableColumnId="19"/>
      <queryTableField id="6" name="total_boxes" tableColumnId="20"/>
      <queryTableField id="7" name="total_avg_price" tableColumnId="21"/>
    </queryTableFields>
  </queryTableRefresh>
</queryTable>
</file>

<file path=xl/queryTables/queryTable2.xml><?xml version="1.0" encoding="utf-8"?>
<queryTable xmlns="http://schemas.openxmlformats.org/spreadsheetml/2006/main" name="Външни данни_2" connectionId="4" autoFormatId="0" applyNumberFormats="0" applyBorderFormats="0" applyFontFormats="1" applyPatternFormats="1" applyAlignmentFormats="0" applyWidthHeightFormats="0">
  <queryTableRefresh preserveSortFilterLayout="0" nextId="8">
    <queryTableFields count="2">
      <queryTableField id="1" name="product" tableColumnId="15"/>
      <queryTableField id="4" name="price_avg" tableColumnId="18"/>
    </queryTableFields>
    <queryTableDeletedFields count="5">
      <deletedField name="total_revenue"/>
      <deletedField name="total_boxes"/>
      <deletedField name="total_avg_price"/>
      <deletedField name="revenue"/>
      <deletedField name="boxes"/>
    </queryTableDeletedFields>
  </queryTableRefresh>
</queryTable>
</file>

<file path=xl/queryTables/queryTable3.xml><?xml version="1.0" encoding="utf-8"?>
<queryTable xmlns="http://schemas.openxmlformats.org/spreadsheetml/2006/main" name="Външни данни_3" connectionId="5" autoFormatId="0" applyNumberFormats="0" applyBorderFormats="0" applyFontFormats="1" applyPatternFormats="1" applyAlignmentFormats="0" applyWidthHeightFormats="0">
  <queryTableRefresh preserveSortFilterLayout="0" nextId="8">
    <queryTableFields count="2">
      <queryTableField id="1" name="product" tableColumnId="15"/>
      <queryTableField id="3" name="boxes" tableColumnId="17"/>
    </queryTableFields>
    <queryTableDeletedFields count="5">
      <deletedField name="total_revenue"/>
      <deletedField name="total_boxes"/>
      <deletedField name="total_avg_price"/>
      <deletedField name="price_avg"/>
      <deletedField name="revenue"/>
    </queryTableDeletedFields>
  </queryTableRefresh>
</queryTable>
</file>

<file path=xl/queryTables/queryTable4.xml><?xml version="1.0" encoding="utf-8"?>
<queryTable xmlns="http://schemas.openxmlformats.org/spreadsheetml/2006/main" name="Външни данни_4" connectionId="6" autoFormatId="0" applyNumberFormats="0" applyBorderFormats="0" applyFontFormats="1" applyPatternFormats="1" applyAlignmentFormats="0" applyWidthHeightFormats="0">
  <queryTableRefresh preserveSortFilterLayout="0" nextId="8">
    <queryTableFields count="2">
      <queryTableField id="1" name="product" tableColumnId="15"/>
      <queryTableField id="2" name="revenue" tableColumnId="16"/>
    </queryTableFields>
    <queryTableDeletedFields count="5">
      <deletedField name="total_revenue"/>
      <deletedField name="total_boxes"/>
      <deletedField name="total_avg_price"/>
      <deletedField name="price_avg"/>
      <deletedField name="boxes"/>
    </queryTableDeletedFields>
  </queryTableRefresh>
</queryTable>
</file>

<file path=xl/queryTables/queryTable5.xml><?xml version="1.0" encoding="utf-8"?>
<queryTable xmlns="http://schemas.openxmlformats.org/spreadsheetml/2006/main" name="Външни данни_1" connectionId="1" autoFormatId="0" applyNumberFormats="0" applyBorderFormats="0" applyFontFormats="1" applyPatternFormats="1" applyAlignmentFormats="0" applyWidthHeightFormats="0">
  <queryTableRefresh preserveSortFilterLayout="0" nextId="4">
    <queryTableFields count="2">
      <queryTableField id="1" name="month" tableColumnId="7"/>
      <queryTableField id="3" name="boxes" tableColumnId="9"/>
    </queryTableFields>
    <queryTableDeletedFields count="1">
      <deletedField name="revenue"/>
    </queryTableDeletedFields>
  </queryTableRefresh>
</queryTable>
</file>

<file path=xl/queryTables/queryTable6.xml><?xml version="1.0" encoding="utf-8"?>
<queryTable xmlns="http://schemas.openxmlformats.org/spreadsheetml/2006/main" name="Външни данни_2" connectionId="2" autoFormatId="0" applyNumberFormats="0" applyBorderFormats="0" applyFontFormats="1" applyPatternFormats="1" applyAlignmentFormats="0" applyWidthHeightFormats="0">
  <queryTableRefresh preserveSortFilterLayout="0" nextId="4">
    <queryTableFields count="2">
      <queryTableField id="1" name="month" tableColumnId="7"/>
      <queryTableField id="2" name="revenue" tableColumnId="8"/>
    </queryTableFields>
    <queryTableDeletedFields count="1">
      <deletedField name="boxe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id="1" name="Product_c" displayName="Product_c" ref="A1:G23" tableType="queryTable" totalsRowShown="0">
  <autoFilter ref="A1:G23"/>
  <tableColumns count="7">
    <tableColumn id="15" uniqueName="15" name="product" queryTableFieldId="1" dataDxfId="17"/>
    <tableColumn id="16" uniqueName="16" name="revenue" queryTableFieldId="2" dataDxfId="15" dataCellStyle="Валута"/>
    <tableColumn id="17" uniqueName="17" name="boxes" queryTableFieldId="3" dataDxfId="16"/>
    <tableColumn id="18" uniqueName="18" name="price_avg" queryTableFieldId="4" dataCellStyle="Валута"/>
    <tableColumn id="19" uniqueName="19" name="total_revenue" queryTableFieldId="5" dataDxfId="13" dataCellStyle="Валута"/>
    <tableColumn id="20" uniqueName="20" name="total_boxes" queryTableFieldId="6" dataDxfId="14"/>
    <tableColumn id="21" uniqueName="21" name="total_avg_price" queryTableFieldId="7" dataCellStyle="Валута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5" name="Product_c6" displayName="Product_c6" ref="L2:M24" tableType="queryTable" totalsRowShown="0">
  <autoFilter ref="L2:M24"/>
  <sortState ref="L3:M24">
    <sortCondition descending="1" ref="M3:M24"/>
  </sortState>
  <tableColumns count="2">
    <tableColumn id="15" uniqueName="15" name="product" queryTableFieldId="1" dataDxfId="9"/>
    <tableColumn id="18" uniqueName="18" name="price_avg" queryTableFieldId="4" dataCellStyle="Валута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6" name="Product_c7" displayName="Product_c7" ref="A29:B51" tableType="queryTable" totalsRowShown="0">
  <autoFilter ref="A29:B51"/>
  <sortState ref="A30:B51">
    <sortCondition descending="1" ref="B30:B51"/>
  </sortState>
  <tableColumns count="2">
    <tableColumn id="15" uniqueName="15" name="product" queryTableFieldId="1" dataDxfId="8"/>
    <tableColumn id="17" uniqueName="17" name="boxes" queryTableFieldId="3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7" name="Product_c78" displayName="Product_c78" ref="D29:E51" tableType="queryTable" totalsRowShown="0">
  <autoFilter ref="D29:E51"/>
  <sortState ref="D30:E51">
    <sortCondition descending="1" ref="E30:E51"/>
  </sortState>
  <tableColumns count="2">
    <tableColumn id="15" uniqueName="15" name="product" queryTableFieldId="1" dataDxfId="6"/>
    <tableColumn id="16" uniqueName="16" name="revenue" queryTableFieldId="2" dataDxfId="5" dataCellStyle="Валута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2" name="month_c" displayName="month_c" ref="A1:B9" tableType="queryTable" totalsRowShown="0">
  <autoFilter ref="A1:B9"/>
  <sortState ref="A2:C9">
    <sortCondition ref="A2:A9"/>
  </sortState>
  <tableColumns count="2">
    <tableColumn id="7" uniqueName="7" name="month" queryTableFieldId="1" dataDxfId="19"/>
    <tableColumn id="9" uniqueName="9" name="boxes" queryTableFieldId="3" dataDxfId="1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3" name="Таблица3" displayName="Таблица3" ref="A13:B19" totalsRowShown="0" dataDxfId="22">
  <autoFilter ref="A13:B19"/>
  <tableColumns count="2">
    <tableColumn id="1" name="Country" dataDxfId="21"/>
    <tableColumn id="2" name="Revenue" dataDxfId="20" dataCellStyle="Валута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4" name="Таблица4" displayName="Таблица4" ref="E12:F18" totalsRowShown="0" dataDxfId="10">
  <autoFilter ref="E12:F18"/>
  <tableColumns count="2">
    <tableColumn id="1" name="Country" dataDxfId="12"/>
    <tableColumn id="3" name="AVG price" dataDxfId="11" dataCellStyle="Валута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Таблица49" displayName="Таблица49" ref="H12:I18" totalsRowShown="0" dataDxfId="4">
  <autoFilter ref="H12:I18"/>
  <sortState ref="H13:I18">
    <sortCondition descending="1" ref="I18"/>
  </sortState>
  <tableColumns count="2">
    <tableColumn id="1" name="Country" dataDxfId="3"/>
    <tableColumn id="2" name="Boxes" dataDxfId="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onth_c10" displayName="month_c10" ref="D1:E9" tableType="queryTable" totalsRowShown="0">
  <autoFilter ref="D1:E9"/>
  <sortState ref="D2:F9">
    <sortCondition ref="D2:D9"/>
  </sortState>
  <tableColumns count="2">
    <tableColumn id="7" uniqueName="7" name="month" queryTableFieldId="1" dataDxfId="1"/>
    <tableColumn id="8" uniqueName="8" name="revenue" queryTableFieldId="2" dataDxfId="0" dataCellStyle="Валута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tabSelected="1" topLeftCell="C1" zoomScale="66" workbookViewId="0">
      <selection activeCell="L4" sqref="L4"/>
    </sheetView>
  </sheetViews>
  <sheetFormatPr defaultRowHeight="14.4" x14ac:dyDescent="0.3"/>
  <cols>
    <col min="1" max="1" width="20.21875" bestFit="1" customWidth="1"/>
    <col min="2" max="2" width="13.6640625" bestFit="1" customWidth="1"/>
    <col min="3" max="3" width="8.109375" bestFit="1" customWidth="1"/>
    <col min="4" max="4" width="11.33203125" bestFit="1" customWidth="1"/>
    <col min="5" max="5" width="15" bestFit="1" customWidth="1"/>
    <col min="6" max="6" width="13" bestFit="1" customWidth="1"/>
    <col min="7" max="7" width="16.33203125" bestFit="1" customWidth="1"/>
    <col min="11" max="11" width="10.33203125" customWidth="1"/>
    <col min="12" max="12" width="20.21875" bestFit="1" customWidth="1"/>
    <col min="13" max="13" width="11" bestFit="1" customWidth="1"/>
    <col min="14" max="15" width="11.33203125" bestFit="1" customWidth="1"/>
    <col min="16" max="16" width="15" bestFit="1" customWidth="1"/>
    <col min="17" max="17" width="13" bestFit="1" customWidth="1"/>
    <col min="18" max="18" width="16.332031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3" x14ac:dyDescent="0.3">
      <c r="A2" s="1" t="s">
        <v>7</v>
      </c>
      <c r="B2" s="6">
        <v>1120201.0900000001</v>
      </c>
      <c r="C2" s="1">
        <v>26969</v>
      </c>
      <c r="D2" s="5">
        <v>41.536619000000002</v>
      </c>
      <c r="E2" s="6">
        <v>19791571.859999999</v>
      </c>
      <c r="F2" s="1">
        <v>540437</v>
      </c>
      <c r="G2" s="5">
        <v>36.745708147000002</v>
      </c>
      <c r="L2" s="1" t="s">
        <v>0</v>
      </c>
      <c r="M2" s="1" t="s">
        <v>3</v>
      </c>
    </row>
    <row r="3" spans="1:13" x14ac:dyDescent="0.3">
      <c r="A3" s="1" t="s">
        <v>8</v>
      </c>
      <c r="B3" s="6">
        <v>1087659.3500000001</v>
      </c>
      <c r="C3" s="1">
        <v>29810</v>
      </c>
      <c r="D3" s="5">
        <v>36.486392000000002</v>
      </c>
      <c r="E3" s="6">
        <v>19791571.859999999</v>
      </c>
      <c r="F3" s="1">
        <v>540437</v>
      </c>
      <c r="G3" s="5">
        <v>36.745708147000002</v>
      </c>
      <c r="L3" s="1" t="s">
        <v>17</v>
      </c>
      <c r="M3" s="5">
        <v>43.314264999999999</v>
      </c>
    </row>
    <row r="4" spans="1:13" x14ac:dyDescent="0.3">
      <c r="A4" s="1" t="s">
        <v>9</v>
      </c>
      <c r="B4" s="6">
        <v>1054257</v>
      </c>
      <c r="C4" s="1">
        <v>25158</v>
      </c>
      <c r="D4" s="5">
        <v>41.905437999999997</v>
      </c>
      <c r="E4" s="6">
        <v>19791571.859999999</v>
      </c>
      <c r="F4" s="1">
        <v>540437</v>
      </c>
      <c r="G4" s="5">
        <v>36.745708147000002</v>
      </c>
      <c r="L4" s="1" t="s">
        <v>9</v>
      </c>
      <c r="M4" s="5">
        <v>41.905437999999997</v>
      </c>
    </row>
    <row r="5" spans="1:13" x14ac:dyDescent="0.3">
      <c r="A5" s="1" t="s">
        <v>10</v>
      </c>
      <c r="B5" s="6">
        <v>1036591.09</v>
      </c>
      <c r="C5" s="1">
        <v>25339</v>
      </c>
      <c r="D5" s="5">
        <v>40.908918999999997</v>
      </c>
      <c r="E5" s="6">
        <v>19791571.859999999</v>
      </c>
      <c r="F5" s="1">
        <v>540437</v>
      </c>
      <c r="G5" s="5">
        <v>36.745708147000002</v>
      </c>
      <c r="L5" s="1" t="s">
        <v>7</v>
      </c>
      <c r="M5" s="5">
        <v>41.536619000000002</v>
      </c>
    </row>
    <row r="6" spans="1:13" x14ac:dyDescent="0.3">
      <c r="A6" s="1" t="s">
        <v>11</v>
      </c>
      <c r="B6" s="6">
        <v>996947.96</v>
      </c>
      <c r="C6" s="1">
        <v>26678</v>
      </c>
      <c r="D6" s="5">
        <v>37.369666000000002</v>
      </c>
      <c r="E6" s="6">
        <v>19791571.859999999</v>
      </c>
      <c r="F6" s="1">
        <v>540437</v>
      </c>
      <c r="G6" s="5">
        <v>36.745708147000002</v>
      </c>
      <c r="L6" s="1" t="s">
        <v>10</v>
      </c>
      <c r="M6" s="5">
        <v>40.908918999999997</v>
      </c>
    </row>
    <row r="7" spans="1:13" x14ac:dyDescent="0.3">
      <c r="A7" s="1" t="s">
        <v>12</v>
      </c>
      <c r="B7" s="6">
        <v>960033.45</v>
      </c>
      <c r="C7" s="1">
        <v>24818</v>
      </c>
      <c r="D7" s="5">
        <v>38.682949999999998</v>
      </c>
      <c r="E7" s="6">
        <v>19791571.859999999</v>
      </c>
      <c r="F7" s="1">
        <v>540437</v>
      </c>
      <c r="G7" s="5">
        <v>36.745708147000002</v>
      </c>
      <c r="L7" s="1" t="s">
        <v>13</v>
      </c>
      <c r="M7" s="5">
        <v>40.090156</v>
      </c>
    </row>
    <row r="8" spans="1:13" x14ac:dyDescent="0.3">
      <c r="A8" s="1" t="s">
        <v>13</v>
      </c>
      <c r="B8" s="6">
        <v>955268.24</v>
      </c>
      <c r="C8" s="1">
        <v>23828</v>
      </c>
      <c r="D8" s="5">
        <v>40.090156</v>
      </c>
      <c r="E8" s="6">
        <v>19791571.859999999</v>
      </c>
      <c r="F8" s="1">
        <v>540437</v>
      </c>
      <c r="G8" s="5">
        <v>36.745708147000002</v>
      </c>
      <c r="L8" s="1" t="s">
        <v>14</v>
      </c>
      <c r="M8" s="5">
        <v>40.053628000000003</v>
      </c>
    </row>
    <row r="9" spans="1:13" x14ac:dyDescent="0.3">
      <c r="A9" s="1" t="s">
        <v>14</v>
      </c>
      <c r="B9" s="6">
        <v>945345.73</v>
      </c>
      <c r="C9" s="1">
        <v>23602</v>
      </c>
      <c r="D9" s="5">
        <v>40.053628000000003</v>
      </c>
      <c r="E9" s="6">
        <v>19791571.859999999</v>
      </c>
      <c r="F9" s="1">
        <v>540437</v>
      </c>
      <c r="G9" s="5">
        <v>36.745708147000002</v>
      </c>
      <c r="L9" s="1" t="s">
        <v>26</v>
      </c>
      <c r="M9" s="5">
        <v>39.287641000000001</v>
      </c>
    </row>
    <row r="10" spans="1:13" x14ac:dyDescent="0.3">
      <c r="A10" s="1" t="s">
        <v>15</v>
      </c>
      <c r="B10" s="6">
        <v>938131.69</v>
      </c>
      <c r="C10" s="1">
        <v>26662</v>
      </c>
      <c r="D10" s="5">
        <v>35.186095999999999</v>
      </c>
      <c r="E10" s="6">
        <v>19791571.859999999</v>
      </c>
      <c r="F10" s="1">
        <v>540437</v>
      </c>
      <c r="G10" s="5">
        <v>36.745708147000002</v>
      </c>
      <c r="L10" s="1" t="s">
        <v>20</v>
      </c>
      <c r="M10" s="5">
        <v>39.008324999999999</v>
      </c>
    </row>
    <row r="11" spans="1:13" x14ac:dyDescent="0.3">
      <c r="A11" s="1" t="s">
        <v>16</v>
      </c>
      <c r="B11" s="6">
        <v>904989.55</v>
      </c>
      <c r="C11" s="1">
        <v>25149</v>
      </c>
      <c r="D11" s="5">
        <v>35.985111000000003</v>
      </c>
      <c r="E11" s="6">
        <v>19791571.859999999</v>
      </c>
      <c r="F11" s="1">
        <v>540437</v>
      </c>
      <c r="G11" s="5">
        <v>36.745708147000002</v>
      </c>
      <c r="L11" s="1" t="s">
        <v>12</v>
      </c>
      <c r="M11" s="5">
        <v>38.682949999999998</v>
      </c>
    </row>
    <row r="12" spans="1:13" x14ac:dyDescent="0.3">
      <c r="A12" s="1" t="s">
        <v>17</v>
      </c>
      <c r="B12" s="6">
        <v>890454.65</v>
      </c>
      <c r="C12" s="1">
        <v>20558</v>
      </c>
      <c r="D12" s="5">
        <v>43.314264999999999</v>
      </c>
      <c r="E12" s="6">
        <v>19791571.859999999</v>
      </c>
      <c r="F12" s="1">
        <v>540437</v>
      </c>
      <c r="G12" s="5">
        <v>36.745708147000002</v>
      </c>
      <c r="L12" s="1" t="s">
        <v>11</v>
      </c>
      <c r="M12" s="5">
        <v>37.369666000000002</v>
      </c>
    </row>
    <row r="13" spans="1:13" x14ac:dyDescent="0.3">
      <c r="A13" s="1" t="s">
        <v>18</v>
      </c>
      <c r="B13" s="6">
        <v>885208.03</v>
      </c>
      <c r="C13" s="1">
        <v>23736</v>
      </c>
      <c r="D13" s="5">
        <v>37.293900999999998</v>
      </c>
      <c r="E13" s="6">
        <v>19791571.859999999</v>
      </c>
      <c r="F13" s="1">
        <v>540437</v>
      </c>
      <c r="G13" s="5">
        <v>36.745708147000002</v>
      </c>
      <c r="L13" s="1" t="s">
        <v>18</v>
      </c>
      <c r="M13" s="5">
        <v>37.293900999999998</v>
      </c>
    </row>
    <row r="14" spans="1:13" x14ac:dyDescent="0.3">
      <c r="A14" s="1" t="s">
        <v>19</v>
      </c>
      <c r="B14" s="6">
        <v>866273.62</v>
      </c>
      <c r="C14" s="1">
        <v>25436</v>
      </c>
      <c r="D14" s="5">
        <v>34.056990999999996</v>
      </c>
      <c r="E14" s="6">
        <v>19791571.859999999</v>
      </c>
      <c r="F14" s="1">
        <v>540437</v>
      </c>
      <c r="G14" s="5">
        <v>36.745708147000002</v>
      </c>
      <c r="L14" s="1" t="s">
        <v>25</v>
      </c>
      <c r="M14" s="5">
        <v>37.256884999999997</v>
      </c>
    </row>
    <row r="15" spans="1:13" x14ac:dyDescent="0.3">
      <c r="A15" s="1" t="s">
        <v>20</v>
      </c>
      <c r="B15" s="6">
        <v>845388.41</v>
      </c>
      <c r="C15" s="1">
        <v>21672</v>
      </c>
      <c r="D15" s="5">
        <v>39.008324999999999</v>
      </c>
      <c r="E15" s="6">
        <v>19791571.859999999</v>
      </c>
      <c r="F15" s="1">
        <v>540437</v>
      </c>
      <c r="G15" s="5">
        <v>36.745708147000002</v>
      </c>
      <c r="L15" s="1" t="s">
        <v>8</v>
      </c>
      <c r="M15" s="5">
        <v>36.486392000000002</v>
      </c>
    </row>
    <row r="16" spans="1:13" x14ac:dyDescent="0.3">
      <c r="A16" s="1" t="s">
        <v>21</v>
      </c>
      <c r="B16" s="6">
        <v>837215.67</v>
      </c>
      <c r="C16" s="1">
        <v>25156</v>
      </c>
      <c r="D16" s="5">
        <v>33.280954000000001</v>
      </c>
      <c r="E16" s="6">
        <v>19791571.859999999</v>
      </c>
      <c r="F16" s="1">
        <v>540437</v>
      </c>
      <c r="G16" s="5">
        <v>36.745708147000002</v>
      </c>
      <c r="L16" s="1" t="s">
        <v>16</v>
      </c>
      <c r="M16" s="5">
        <v>35.985111000000003</v>
      </c>
    </row>
    <row r="17" spans="1:13" x14ac:dyDescent="0.3">
      <c r="A17" s="1" t="s">
        <v>22</v>
      </c>
      <c r="B17" s="6">
        <v>829278.96</v>
      </c>
      <c r="C17" s="1">
        <v>23632</v>
      </c>
      <c r="D17" s="5">
        <v>35.091357000000002</v>
      </c>
      <c r="E17" s="6">
        <v>19791571.859999999</v>
      </c>
      <c r="F17" s="1">
        <v>540437</v>
      </c>
      <c r="G17" s="5">
        <v>36.745708147000002</v>
      </c>
      <c r="L17" s="1" t="s">
        <v>15</v>
      </c>
      <c r="M17" s="5">
        <v>35.186095999999999</v>
      </c>
    </row>
    <row r="18" spans="1:13" x14ac:dyDescent="0.3">
      <c r="A18" s="1" t="s">
        <v>23</v>
      </c>
      <c r="B18" s="6">
        <v>824070.85</v>
      </c>
      <c r="C18" s="1">
        <v>23607</v>
      </c>
      <c r="D18" s="5">
        <v>34.907902</v>
      </c>
      <c r="E18" s="6">
        <v>19791571.859999999</v>
      </c>
      <c r="F18" s="1">
        <v>540437</v>
      </c>
      <c r="G18" s="5">
        <v>36.745708147000002</v>
      </c>
      <c r="L18" s="1" t="s">
        <v>22</v>
      </c>
      <c r="M18" s="5">
        <v>35.091357000000002</v>
      </c>
    </row>
    <row r="19" spans="1:13" x14ac:dyDescent="0.3">
      <c r="A19" s="1" t="s">
        <v>24</v>
      </c>
      <c r="B19" s="6">
        <v>822245.57</v>
      </c>
      <c r="C19" s="1">
        <v>26402</v>
      </c>
      <c r="D19" s="5">
        <v>31.143305999999999</v>
      </c>
      <c r="E19" s="6">
        <v>19791571.859999999</v>
      </c>
      <c r="F19" s="1">
        <v>540437</v>
      </c>
      <c r="G19" s="5">
        <v>36.745708147000002</v>
      </c>
      <c r="L19" s="1" t="s">
        <v>23</v>
      </c>
      <c r="M19" s="5">
        <v>34.907902</v>
      </c>
    </row>
    <row r="20" spans="1:13" x14ac:dyDescent="0.3">
      <c r="A20" s="1" t="s">
        <v>25</v>
      </c>
      <c r="B20" s="6">
        <v>799085.67</v>
      </c>
      <c r="C20" s="1">
        <v>21448</v>
      </c>
      <c r="D20" s="5">
        <v>37.256884999999997</v>
      </c>
      <c r="E20" s="6">
        <v>19791571.859999999</v>
      </c>
      <c r="F20" s="1">
        <v>540437</v>
      </c>
      <c r="G20" s="5">
        <v>36.745708147000002</v>
      </c>
      <c r="L20" s="1" t="s">
        <v>19</v>
      </c>
      <c r="M20" s="5">
        <v>34.056990999999996</v>
      </c>
    </row>
    <row r="21" spans="1:13" x14ac:dyDescent="0.3">
      <c r="A21" s="1" t="s">
        <v>26</v>
      </c>
      <c r="B21" s="6">
        <v>773062.91</v>
      </c>
      <c r="C21" s="1">
        <v>19677</v>
      </c>
      <c r="D21" s="5">
        <v>39.287641000000001</v>
      </c>
      <c r="E21" s="6">
        <v>19791571.859999999</v>
      </c>
      <c r="F21" s="1">
        <v>540437</v>
      </c>
      <c r="G21" s="5">
        <v>36.745708147000002</v>
      </c>
      <c r="L21" s="1" t="s">
        <v>21</v>
      </c>
      <c r="M21" s="5">
        <v>33.280954000000001</v>
      </c>
    </row>
    <row r="22" spans="1:13" x14ac:dyDescent="0.3">
      <c r="A22" s="1" t="s">
        <v>27</v>
      </c>
      <c r="B22" s="6">
        <v>742516.15</v>
      </c>
      <c r="C22" s="1">
        <v>26576</v>
      </c>
      <c r="D22" s="5">
        <v>27.939349</v>
      </c>
      <c r="E22" s="6">
        <v>19791571.859999999</v>
      </c>
      <c r="F22" s="1">
        <v>540437</v>
      </c>
      <c r="G22" s="5">
        <v>36.745708147000002</v>
      </c>
      <c r="L22" s="1" t="s">
        <v>24</v>
      </c>
      <c r="M22" s="5">
        <v>31.143305999999999</v>
      </c>
    </row>
    <row r="23" spans="1:13" x14ac:dyDescent="0.3">
      <c r="A23" s="1" t="s">
        <v>28</v>
      </c>
      <c r="B23" s="6">
        <v>677346.22</v>
      </c>
      <c r="C23" s="1">
        <v>24524</v>
      </c>
      <c r="D23" s="5">
        <v>27.619727999999999</v>
      </c>
      <c r="E23" s="6">
        <v>19791571.859999999</v>
      </c>
      <c r="F23" s="1">
        <v>540437</v>
      </c>
      <c r="G23" s="5">
        <v>36.745708147000002</v>
      </c>
      <c r="L23" s="1" t="s">
        <v>27</v>
      </c>
      <c r="M23" s="5">
        <v>27.939349</v>
      </c>
    </row>
    <row r="24" spans="1:13" x14ac:dyDescent="0.3">
      <c r="L24" s="1" t="s">
        <v>28</v>
      </c>
      <c r="M24" s="5">
        <v>27.619727999999999</v>
      </c>
    </row>
    <row r="29" spans="1:13" x14ac:dyDescent="0.3">
      <c r="A29" s="1" t="s">
        <v>0</v>
      </c>
      <c r="B29" s="1" t="s">
        <v>2</v>
      </c>
      <c r="D29" s="1" t="s">
        <v>0</v>
      </c>
      <c r="E29" s="1" t="s">
        <v>1</v>
      </c>
    </row>
    <row r="30" spans="1:13" x14ac:dyDescent="0.3">
      <c r="A30" s="1" t="s">
        <v>8</v>
      </c>
      <c r="B30" s="1">
        <v>29810</v>
      </c>
      <c r="D30" s="1" t="s">
        <v>7</v>
      </c>
      <c r="E30" s="6">
        <v>1120201.0900000001</v>
      </c>
    </row>
    <row r="31" spans="1:13" x14ac:dyDescent="0.3">
      <c r="A31" s="1" t="s">
        <v>7</v>
      </c>
      <c r="B31" s="1">
        <v>26969</v>
      </c>
      <c r="D31" s="1" t="s">
        <v>8</v>
      </c>
      <c r="E31" s="6">
        <v>1087659.3500000001</v>
      </c>
    </row>
    <row r="32" spans="1:13" x14ac:dyDescent="0.3">
      <c r="A32" s="1" t="s">
        <v>11</v>
      </c>
      <c r="B32" s="1">
        <v>26678</v>
      </c>
      <c r="D32" s="1" t="s">
        <v>9</v>
      </c>
      <c r="E32" s="6">
        <v>1054257</v>
      </c>
    </row>
    <row r="33" spans="1:5" x14ac:dyDescent="0.3">
      <c r="A33" s="1" t="s">
        <v>15</v>
      </c>
      <c r="B33" s="1">
        <v>26662</v>
      </c>
      <c r="D33" s="1" t="s">
        <v>10</v>
      </c>
      <c r="E33" s="6">
        <v>1036591.09</v>
      </c>
    </row>
    <row r="34" spans="1:5" x14ac:dyDescent="0.3">
      <c r="A34" s="1" t="s">
        <v>27</v>
      </c>
      <c r="B34" s="1">
        <v>26576</v>
      </c>
      <c r="D34" s="1" t="s">
        <v>11</v>
      </c>
      <c r="E34" s="6">
        <v>996947.96</v>
      </c>
    </row>
    <row r="35" spans="1:5" x14ac:dyDescent="0.3">
      <c r="A35" s="1" t="s">
        <v>24</v>
      </c>
      <c r="B35" s="1">
        <v>26402</v>
      </c>
      <c r="D35" s="1" t="s">
        <v>12</v>
      </c>
      <c r="E35" s="6">
        <v>960033.45</v>
      </c>
    </row>
    <row r="36" spans="1:5" x14ac:dyDescent="0.3">
      <c r="A36" s="1" t="s">
        <v>19</v>
      </c>
      <c r="B36" s="1">
        <v>25436</v>
      </c>
      <c r="D36" s="1" t="s">
        <v>13</v>
      </c>
      <c r="E36" s="6">
        <v>955268.24</v>
      </c>
    </row>
    <row r="37" spans="1:5" x14ac:dyDescent="0.3">
      <c r="A37" s="1" t="s">
        <v>10</v>
      </c>
      <c r="B37" s="1">
        <v>25339</v>
      </c>
      <c r="D37" s="1" t="s">
        <v>14</v>
      </c>
      <c r="E37" s="6">
        <v>945345.73</v>
      </c>
    </row>
    <row r="38" spans="1:5" x14ac:dyDescent="0.3">
      <c r="A38" s="1" t="s">
        <v>9</v>
      </c>
      <c r="B38" s="1">
        <v>25158</v>
      </c>
      <c r="D38" s="1" t="s">
        <v>15</v>
      </c>
      <c r="E38" s="6">
        <v>938131.69</v>
      </c>
    </row>
    <row r="39" spans="1:5" x14ac:dyDescent="0.3">
      <c r="A39" s="1" t="s">
        <v>21</v>
      </c>
      <c r="B39" s="1">
        <v>25156</v>
      </c>
      <c r="D39" s="1" t="s">
        <v>16</v>
      </c>
      <c r="E39" s="6">
        <v>904989.55</v>
      </c>
    </row>
    <row r="40" spans="1:5" x14ac:dyDescent="0.3">
      <c r="A40" s="1" t="s">
        <v>16</v>
      </c>
      <c r="B40" s="1">
        <v>25149</v>
      </c>
      <c r="D40" s="1" t="s">
        <v>17</v>
      </c>
      <c r="E40" s="6">
        <v>890454.65</v>
      </c>
    </row>
    <row r="41" spans="1:5" x14ac:dyDescent="0.3">
      <c r="A41" s="1" t="s">
        <v>12</v>
      </c>
      <c r="B41" s="1">
        <v>24818</v>
      </c>
      <c r="D41" s="1" t="s">
        <v>18</v>
      </c>
      <c r="E41" s="6">
        <v>885208.03</v>
      </c>
    </row>
    <row r="42" spans="1:5" x14ac:dyDescent="0.3">
      <c r="A42" s="1" t="s">
        <v>28</v>
      </c>
      <c r="B42" s="1">
        <v>24524</v>
      </c>
      <c r="D42" s="1" t="s">
        <v>19</v>
      </c>
      <c r="E42" s="6">
        <v>866273.62</v>
      </c>
    </row>
    <row r="43" spans="1:5" x14ac:dyDescent="0.3">
      <c r="A43" s="1" t="s">
        <v>13</v>
      </c>
      <c r="B43" s="1">
        <v>23828</v>
      </c>
      <c r="D43" s="1" t="s">
        <v>20</v>
      </c>
      <c r="E43" s="6">
        <v>845388.41</v>
      </c>
    </row>
    <row r="44" spans="1:5" x14ac:dyDescent="0.3">
      <c r="A44" s="1" t="s">
        <v>18</v>
      </c>
      <c r="B44" s="1">
        <v>23736</v>
      </c>
      <c r="D44" s="1" t="s">
        <v>21</v>
      </c>
      <c r="E44" s="6">
        <v>837215.67</v>
      </c>
    </row>
    <row r="45" spans="1:5" x14ac:dyDescent="0.3">
      <c r="A45" s="1" t="s">
        <v>22</v>
      </c>
      <c r="B45" s="1">
        <v>23632</v>
      </c>
      <c r="D45" s="1" t="s">
        <v>22</v>
      </c>
      <c r="E45" s="6">
        <v>829278.96</v>
      </c>
    </row>
    <row r="46" spans="1:5" x14ac:dyDescent="0.3">
      <c r="A46" s="1" t="s">
        <v>23</v>
      </c>
      <c r="B46" s="1">
        <v>23607</v>
      </c>
      <c r="D46" s="1" t="s">
        <v>23</v>
      </c>
      <c r="E46" s="6">
        <v>824070.85</v>
      </c>
    </row>
    <row r="47" spans="1:5" x14ac:dyDescent="0.3">
      <c r="A47" s="1" t="s">
        <v>14</v>
      </c>
      <c r="B47" s="1">
        <v>23602</v>
      </c>
      <c r="D47" s="1" t="s">
        <v>24</v>
      </c>
      <c r="E47" s="6">
        <v>822245.57</v>
      </c>
    </row>
    <row r="48" spans="1:5" x14ac:dyDescent="0.3">
      <c r="A48" s="1" t="s">
        <v>20</v>
      </c>
      <c r="B48" s="1">
        <v>21672</v>
      </c>
      <c r="D48" s="1" t="s">
        <v>25</v>
      </c>
      <c r="E48" s="6">
        <v>799085.67</v>
      </c>
    </row>
    <row r="49" spans="1:5" x14ac:dyDescent="0.3">
      <c r="A49" s="1" t="s">
        <v>25</v>
      </c>
      <c r="B49" s="1">
        <v>21448</v>
      </c>
      <c r="D49" s="1" t="s">
        <v>26</v>
      </c>
      <c r="E49" s="6">
        <v>773062.91</v>
      </c>
    </row>
    <row r="50" spans="1:5" x14ac:dyDescent="0.3">
      <c r="A50" s="1" t="s">
        <v>17</v>
      </c>
      <c r="B50" s="1">
        <v>20558</v>
      </c>
      <c r="D50" s="1" t="s">
        <v>27</v>
      </c>
      <c r="E50" s="6">
        <v>742516.15</v>
      </c>
    </row>
    <row r="51" spans="1:5" x14ac:dyDescent="0.3">
      <c r="A51" s="1" t="s">
        <v>26</v>
      </c>
      <c r="B51" s="1">
        <v>19677</v>
      </c>
      <c r="D51" s="1" t="s">
        <v>28</v>
      </c>
      <c r="E51" s="6">
        <v>677346.22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zoomScale="46" workbookViewId="0">
      <selection activeCell="I18" sqref="I18"/>
    </sheetView>
  </sheetViews>
  <sheetFormatPr defaultRowHeight="14.4" x14ac:dyDescent="0.3"/>
  <cols>
    <col min="1" max="1" width="10" bestFit="1" customWidth="1"/>
    <col min="2" max="2" width="13.6640625" bestFit="1" customWidth="1"/>
    <col min="3" max="3" width="8.109375" bestFit="1" customWidth="1"/>
    <col min="5" max="5" width="11" bestFit="1" customWidth="1"/>
    <col min="6" max="6" width="11.44140625" bestFit="1" customWidth="1"/>
    <col min="7" max="7" width="11.109375" customWidth="1"/>
  </cols>
  <sheetData>
    <row r="1" spans="1:9" x14ac:dyDescent="0.3">
      <c r="A1" s="1" t="s">
        <v>29</v>
      </c>
      <c r="B1" s="1" t="s">
        <v>2</v>
      </c>
      <c r="D1" s="1" t="s">
        <v>29</v>
      </c>
      <c r="E1" s="1" t="s">
        <v>1</v>
      </c>
    </row>
    <row r="2" spans="1:9" x14ac:dyDescent="0.3">
      <c r="A2" s="1">
        <v>1</v>
      </c>
      <c r="B2" s="1">
        <v>84162</v>
      </c>
      <c r="D2" s="1">
        <v>1</v>
      </c>
      <c r="E2" s="6">
        <v>2868712.59</v>
      </c>
    </row>
    <row r="3" spans="1:9" x14ac:dyDescent="0.3">
      <c r="A3" s="1">
        <v>2</v>
      </c>
      <c r="B3" s="1">
        <v>54917</v>
      </c>
      <c r="D3" s="1">
        <v>2</v>
      </c>
      <c r="E3" s="6">
        <v>2232096.9</v>
      </c>
    </row>
    <row r="4" spans="1:9" x14ac:dyDescent="0.3">
      <c r="A4" s="1">
        <v>3</v>
      </c>
      <c r="B4" s="1">
        <v>59633</v>
      </c>
      <c r="D4" s="1">
        <v>3</v>
      </c>
      <c r="E4" s="6">
        <v>2404769.29</v>
      </c>
    </row>
    <row r="5" spans="1:9" x14ac:dyDescent="0.3">
      <c r="A5" s="1">
        <v>4</v>
      </c>
      <c r="B5" s="1">
        <v>64216</v>
      </c>
      <c r="D5" s="1">
        <v>4</v>
      </c>
      <c r="E5" s="6">
        <v>2161927.2200000002</v>
      </c>
    </row>
    <row r="6" spans="1:9" x14ac:dyDescent="0.3">
      <c r="A6" s="1">
        <v>5</v>
      </c>
      <c r="B6" s="1">
        <v>66662</v>
      </c>
      <c r="D6" s="1">
        <v>5</v>
      </c>
      <c r="E6" s="6">
        <v>2415750.5699999998</v>
      </c>
    </row>
    <row r="7" spans="1:9" x14ac:dyDescent="0.3">
      <c r="A7" s="1">
        <v>6</v>
      </c>
      <c r="B7" s="1">
        <v>80357</v>
      </c>
      <c r="D7" s="1">
        <v>6</v>
      </c>
      <c r="E7" s="6">
        <v>2773931.94</v>
      </c>
    </row>
    <row r="8" spans="1:9" x14ac:dyDescent="0.3">
      <c r="A8" s="1">
        <v>7</v>
      </c>
      <c r="B8" s="1">
        <v>69808</v>
      </c>
      <c r="D8" s="1">
        <v>7</v>
      </c>
      <c r="E8" s="6">
        <v>2567532.29</v>
      </c>
    </row>
    <row r="9" spans="1:9" x14ac:dyDescent="0.3">
      <c r="A9" s="1">
        <v>8</v>
      </c>
      <c r="B9" s="1">
        <v>60682</v>
      </c>
      <c r="D9" s="1">
        <v>8</v>
      </c>
      <c r="E9" s="6">
        <v>2366851.06</v>
      </c>
    </row>
    <row r="12" spans="1:9" x14ac:dyDescent="0.3">
      <c r="E12" t="s">
        <v>36</v>
      </c>
      <c r="F12" t="s">
        <v>39</v>
      </c>
      <c r="H12" t="s">
        <v>36</v>
      </c>
      <c r="I12" t="s">
        <v>38</v>
      </c>
    </row>
    <row r="13" spans="1:9" x14ac:dyDescent="0.3">
      <c r="A13" t="s">
        <v>36</v>
      </c>
      <c r="B13" t="s">
        <v>37</v>
      </c>
      <c r="E13" s="2" t="s">
        <v>30</v>
      </c>
      <c r="F13" s="3">
        <v>36.604272000000002</v>
      </c>
      <c r="H13" s="2" t="s">
        <v>30</v>
      </c>
      <c r="I13" s="2">
        <v>99618</v>
      </c>
    </row>
    <row r="14" spans="1:9" x14ac:dyDescent="0.3">
      <c r="A14" s="2" t="s">
        <v>30</v>
      </c>
      <c r="B14" s="4">
        <v>3646444.35</v>
      </c>
      <c r="E14" s="2" t="s">
        <v>34</v>
      </c>
      <c r="F14" s="3">
        <v>32.351412000000003</v>
      </c>
      <c r="H14" s="2" t="s">
        <v>34</v>
      </c>
      <c r="I14" s="2">
        <v>95158</v>
      </c>
    </row>
    <row r="15" spans="1:9" x14ac:dyDescent="0.3">
      <c r="A15" s="2" t="s">
        <v>31</v>
      </c>
      <c r="B15" s="4">
        <v>3365388.9</v>
      </c>
      <c r="E15" s="2" t="s">
        <v>31</v>
      </c>
      <c r="F15" s="3">
        <v>36.373538000000003</v>
      </c>
      <c r="H15" s="2" t="s">
        <v>31</v>
      </c>
      <c r="I15" s="2">
        <v>92523</v>
      </c>
    </row>
    <row r="16" spans="1:9" x14ac:dyDescent="0.3">
      <c r="A16" s="2" t="s">
        <v>32</v>
      </c>
      <c r="B16" s="4">
        <v>3343730.83</v>
      </c>
      <c r="E16" s="2" t="s">
        <v>32</v>
      </c>
      <c r="F16" s="3">
        <v>37.165779000000001</v>
      </c>
      <c r="H16" s="2" t="s">
        <v>32</v>
      </c>
      <c r="I16" s="2">
        <v>89968</v>
      </c>
    </row>
    <row r="17" spans="1:9" x14ac:dyDescent="0.3">
      <c r="A17" s="2" t="s">
        <v>33</v>
      </c>
      <c r="B17" s="4">
        <v>3313858.09</v>
      </c>
      <c r="E17" s="2" t="s">
        <v>33</v>
      </c>
      <c r="F17" s="3">
        <v>40.501809999999999</v>
      </c>
      <c r="H17" s="2" t="s">
        <v>33</v>
      </c>
      <c r="I17" s="2">
        <v>81820</v>
      </c>
    </row>
    <row r="18" spans="1:9" ht="28.8" x14ac:dyDescent="0.3">
      <c r="A18" s="2" t="s">
        <v>34</v>
      </c>
      <c r="B18" s="4">
        <v>3078495.65</v>
      </c>
      <c r="E18" s="2" t="s">
        <v>35</v>
      </c>
      <c r="F18" s="3">
        <v>37.414309000000003</v>
      </c>
      <c r="H18" s="2" t="s">
        <v>35</v>
      </c>
      <c r="I18" s="2">
        <v>81350</v>
      </c>
    </row>
    <row r="19" spans="1:9" ht="28.8" x14ac:dyDescent="0.3">
      <c r="A19" s="2" t="s">
        <v>35</v>
      </c>
      <c r="B19" s="4">
        <v>3043654.04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WhiteSpace="0" topLeftCell="B44" zoomScale="57" zoomScaleNormal="74" zoomScalePageLayoutView="45" workbookViewId="0">
      <selection activeCell="Z24" sqref="Z24"/>
    </sheetView>
  </sheetViews>
  <sheetFormatPr defaultRowHeight="14.4" x14ac:dyDescent="0.3"/>
  <cols>
    <col min="1" max="16384" width="8.88671875" style="7"/>
  </cols>
  <sheetData/>
  <pageMargins left="0.7" right="0.7" top="0.75" bottom="0.75" header="0.3" footer="0.3"/>
  <pageSetup paperSize="9" scale="18" orientation="portrait" r:id="rId1"/>
  <colBreaks count="1" manualBreakCount="1">
    <brk id="54" max="93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50DE74-77E1-455B-8CB2-C90D6EDF91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3</vt:i4>
      </vt:variant>
      <vt:variant>
        <vt:lpstr>Наименувани диапазони</vt:lpstr>
      </vt:variant>
      <vt:variant>
        <vt:i4>1</vt:i4>
      </vt:variant>
    </vt:vector>
  </HeadingPairs>
  <TitlesOfParts>
    <vt:vector size="4" baseType="lpstr">
      <vt:lpstr>Лист2</vt:lpstr>
      <vt:lpstr>Лист3</vt:lpstr>
      <vt:lpstr>Лист4</vt:lpstr>
      <vt:lpstr>Лист4!Област_печат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2026-04-13T10:47:38Z</dcterms:created>
  <dcterms:modified xsi:type="dcterms:W3CDTF">2026-04-14T16:43:18Z</dcterms:modified>
</cp:coreProperties>
</file>